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7af4bdeb2346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8886415adf749d2"/>
    <x:sheet xmlns:r="http://schemas.openxmlformats.org/officeDocument/2006/relationships" name="Inputs" sheetId="2" r:id="R6cf6789f42ae441f"/>
    <x:sheet xmlns:r="http://schemas.openxmlformats.org/officeDocument/2006/relationships" name="Telecom" sheetId="3" r:id="R848a4c7a54d34f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"/>
    <x:numFmt numFmtId="202" formatCode="+0;-0;0"/>
    <x:numFmt numFmtId="203" formatCode="0.0"/>
    <x:numFmt numFmtId="204" formatCode="0.00%"/>
    <x:numFmt numFmtId="205" formatCode="#,##0.0"/>
  </x:numFmts>
  <x:fonts count="4">
    <x:font>
      <x:sz val="11"/>
      <x:name val="Carlito"/>
    </x:font>
    <x:font>
      <x:sz val="11"/>
      <x:color rgb="FF1E293B"/>
      <x:name val="Arial"/>
    </x:font>
    <x:font>
      <x:b/>
      <x:sz val="16"/>
      <x:color rgb="FF1E293B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39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204" fontId="1" fillId="0" borderId="0" xfId="0" applyNumberFormat="1" applyFont="1" applyFill="1" applyBorder="1"/>
    <x:xf numFmtId="205" fontId="1" fillId="0" borderId="0" xfId="0" applyNumberFormat="1" applyFont="1" applyFill="1" applyBorder="1"/>
    <x:xf numFmtId="0" fontId="1" fillId="3" borderId="0" xfId="0" applyNumberFormat="1" applyFont="1" applyFill="1" applyBorder="1"/>
    <x:xf numFmtId="201" fontId="1" fillId="3" borderId="0" xfId="0" applyNumberFormat="1" applyFont="1" applyFill="1" applyBorder="1"/>
  </x:cellXfs>
  <x:cellStyles count="1">
    <x:cellStyle name="Normal" xfId="0"/>
  </x:cellStyles>
  <x:dxfs count="1"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f08687f2af4e7b" /><Relationship Type="http://schemas.openxmlformats.org/officeDocument/2006/relationships/theme" Target="/xl/theme/theme1.xml" Id="R44230a3545354e2f" /><Relationship Type="http://schemas.openxmlformats.org/officeDocument/2006/relationships/sharedStrings" Target="/xl/sharedStrings.xml" Id="Re591acb0a2404495" /><Relationship Type="http://schemas.openxmlformats.org/officeDocument/2006/relationships/worksheet" Target="/xl/worksheets/sheet1.xml" Id="Re8886415adf749d2" /><Relationship Type="http://schemas.openxmlformats.org/officeDocument/2006/relationships/worksheet" Target="/xl/worksheets/sheet2.xml" Id="R6cf6789f42ae441f" /><Relationship Type="http://schemas.openxmlformats.org/officeDocument/2006/relationships/worksheet" Target="/xl/worksheets/sheet3.xml" Id="R848a4c7a54d34f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9" hidden="0" customWidth="1"/>
    <x:col min="2" max="2" width="22" hidden="0" customWidth="1"/>
    <x:col min="3" max="3" width="32" hidden="0" customWidth="1"/>
    <x:col min="4" max="4" width="21" hidden="0" customWidth="1"/>
    <x:col min="5" max="5" width="61" hidden="0" customWidth="1"/>
  </x:cols>
  <x:sheetData>
    <x:row r="1" ht="25" customHeight="1">
      <x:c r="A1" s="7"/>
      <x:c r="B1" s="7"/>
      <x:c r="C1" s="7"/>
      <x:c r="D1" s="7"/>
      <x:c r="E1" s="7"/>
    </x:row>
    <x:row r="2" ht="25" customHeight="1">
      <x:c r="A2" s="12" t="str">
        <x:v>Product test metrics</x:v>
      </x:c>
      <x:c r="B2" s="7"/>
      <x:c r="C2" s="7"/>
      <x:c r="D2" s="7"/>
      <x:c r="E2" s="7"/>
    </x:row>
    <x:row r="3" ht="25" customHeight="1">
      <x:c r="A3" s="7" t="str">
        <x:v>Sample release R1 | Candidate snapshot 13 Oct 2026 | Replace amber inputs with project data</x:v>
      </x:c>
      <x:c r="B3" s="7"/>
      <x:c r="C3" s="7"/>
      <x:c r="D3" s="7"/>
      <x:c r="E3" s="7"/>
    </x:row>
    <x:row r="4" ht="25" customHeight="1">
      <x:c r="A4" s="7"/>
      <x:c r="B4" s="7"/>
      <x:c r="C4" s="7"/>
      <x:c r="D4" s="7"/>
      <x:c r="E4" s="7"/>
    </x:row>
    <x:row r="5" ht="34" customHeight="1">
      <x:c r="A5" s="14" t="str">
        <x:v>Metric</x:v>
      </x:c>
      <x:c r="B5" s="14" t="str">
        <x:v>Calculated result</x:v>
      </x:c>
      <x:c r="C5" s="14" t="str">
        <x:v>Worked example</x:v>
      </x:c>
      <x:c r="D5" s="14" t="str">
        <x:v>Owner focus</x:v>
      </x:c>
      <x:c r="E5" s="14" t="str">
        <x:v>Interpretation</x:v>
      </x:c>
    </x:row>
    <x:row r="6" ht="25" customHeight="1">
      <x:c r="A6" s="7" t="str">
        <x:v>Requirements coverage</x:v>
      </x:c>
      <x:c r="B6" s="8" t="n">
        <x:f>IF('Inputs'!B6=0,"n.a.",'Inputs'!B7/'Inputs'!B6)</x:f>
        <x:v>0.95</x:v>
      </x:c>
      <x:c r="C6" s="7" t="str">
        <x:v>114 / 120 = 95%</x:v>
      </x:c>
      <x:c r="D6" s="7" t="str">
        <x:v>Both</x:v>
      </x:c>
      <x:c r="E6" s="7" t="str">
        <x:v>Linked coverage; inspect critical gaps</x:v>
      </x:c>
    </x:row>
    <x:row r="7" ht="25" customHeight="1">
      <x:c r="A7" s="7" t="str">
        <x:v>Critical requirements passed</x:v>
      </x:c>
      <x:c r="B7" s="8" t="n">
        <x:f>IF('Inputs'!B8=0,"n.a.",'Inputs'!B9/'Inputs'!B8)</x:f>
        <x:v>0.9</x:v>
      </x:c>
      <x:c r="C7" s="7" t="str">
        <x:v>27 / 30 = 90%</x:v>
      </x:c>
      <x:c r="D7" s="7" t="str">
        <x:v>Both</x:v>
      </x:c>
      <x:c r="E7" s="7" t="str">
        <x:v>3 critical requirements remain unproven</x:v>
      </x:c>
    </x:row>
    <x:row r="8" ht="25" customHeight="1">
      <x:c r="A8" s="7" t="str">
        <x:v>Executed tests</x:v>
      </x:c>
      <x:c r="B8" s="9" t="n">
        <x:f>SUM('Inputs'!B11:'Inputs'!B12)</x:f>
        <x:v>420</x:v>
      </x:c>
      <x:c r="C8" s="7" t="str">
        <x:v>380 + 40 = 420</x:v>
      </x:c>
      <x:c r="D8" s="7" t="str">
        <x:v>Lead</x:v>
      </x:c>
      <x:c r="E8" s="7" t="str">
        <x:v>Passed + failed only</x:v>
      </x:c>
    </x:row>
    <x:row r="9" ht="25" customHeight="1">
      <x:c r="A9" s="7" t="str">
        <x:v>Execution progress</x:v>
      </x:c>
      <x:c r="B9" s="8" t="n">
        <x:f>IF('Inputs'!B10=0,"n.a.",B8/'Inputs'!B10)</x:f>
        <x:v>0.84</x:v>
      </x:c>
      <x:c r="C9" s="7" t="str">
        <x:v>420 / 500 = 84%</x:v>
      </x:c>
      <x:c r="D9" s="7" t="str">
        <x:v>Lead</x:v>
      </x:c>
      <x:c r="E9" s="7" t="str">
        <x:v>Blocked and not run stay outside executed</x:v>
      </x:c>
    </x:row>
    <x:row r="10" ht="25" customHeight="1">
      <x:c r="A10" s="7" t="str">
        <x:v>Test pass rate</x:v>
      </x:c>
      <x:c r="B10" s="8" t="n">
        <x:f>IF(B8=0,"n.a.",'Inputs'!B11/B8)</x:f>
        <x:v>0.9047619047619048</x:v>
      </x:c>
      <x:c r="C10" s="7" t="str">
        <x:v>380 / 420 = 90.5%</x:v>
      </x:c>
      <x:c r="D10" s="7" t="str">
        <x:v>Both</x:v>
      </x:c>
      <x:c r="E10" s="7" t="str">
        <x:v>Inspect severity of failures</x:v>
      </x:c>
    </x:row>
    <x:row r="11" ht="25" customHeight="1">
      <x:c r="A11" s="7" t="str">
        <x:v>Blocked tests</x:v>
      </x:c>
      <x:c r="B11" s="9" t="n">
        <x:f>'Inputs'!B13</x:f>
        <x:v>30</x:v>
      </x:c>
      <x:c r="C11" s="7" t="str">
        <x:v>30 blocked tests</x:v>
      </x:c>
      <x:c r="D11" s="7" t="str">
        <x:v>Lead</x:v>
      </x:c>
      <x:c r="E11" s="7" t="str">
        <x:v>Investigate environment / dependency delays</x:v>
      </x:c>
    </x:row>
    <x:row r="12" ht="25" customHeight="1">
      <x:c r="A12" s="7" t="str">
        <x:v>Tests not run</x:v>
      </x:c>
      <x:c r="B12" s="9" t="n">
        <x:f>'Inputs'!B14</x:f>
        <x:v>50</x:v>
      </x:c>
      <x:c r="C12" s="7" t="str">
        <x:v>50 tests not run</x:v>
      </x:c>
      <x:c r="D12" s="7" t="str">
        <x:v>Lead</x:v>
      </x:c>
      <x:c r="E12" s="7" t="str">
        <x:v>Identify untested product areas</x:v>
      </x:c>
    </x:row>
    <x:row r="13" ht="25" customHeight="1">
      <x:c r="A13" s="7" t="str">
        <x:v>Open critical defects</x:v>
      </x:c>
      <x:c r="B13" s="9" t="n">
        <x:f>'Inputs'!B15</x:f>
        <x:v>1</x:v>
      </x:c>
      <x:c r="C13" s="7" t="str">
        <x:v>1 critical defect</x:v>
      </x:c>
      <x:c r="D13" s="7" t="str">
        <x:v>Both</x:v>
      </x:c>
      <x:c r="E13" s="7" t="str">
        <x:v>Review customer impact and workaround</x:v>
      </x:c>
    </x:row>
    <x:row r="14" ht="25" customHeight="1">
      <x:c r="A14" s="7" t="str">
        <x:v>Open high defects</x:v>
      </x:c>
      <x:c r="B14" s="9" t="n">
        <x:f>'Inputs'!B16</x:f>
        <x:v>5</x:v>
      </x:c>
      <x:c r="C14" s="7" t="str">
        <x:v>5 high defects</x:v>
      </x:c>
      <x:c r="D14" s="7" t="str">
        <x:v>Both</x:v>
      </x:c>
      <x:c r="E14" s="7" t="str">
        <x:v>Review before release</x:v>
      </x:c>
    </x:row>
    <x:row r="15" ht="25" customHeight="1">
      <x:c r="A15" s="7" t="str">
        <x:v>Total open defects</x:v>
      </x:c>
      <x:c r="B15" s="9" t="n">
        <x:f>SUM('Inputs'!B15:'Inputs'!B18)</x:f>
        <x:v>26</x:v>
      </x:c>
      <x:c r="C15" s="7" t="str">
        <x:v>1 + 5 + 12 + 8 = 26</x:v>
      </x:c>
      <x:c r="D15" s="7" t="str">
        <x:v>Both</x:v>
      </x:c>
      <x:c r="E15" s="7" t="str">
        <x:v>Break down by feature and owner</x:v>
      </x:c>
    </x:row>
    <x:row r="16" ht="25" customHeight="1">
      <x:c r="A16" s="7" t="str">
        <x:v>Weekly backlog change</x:v>
      </x:c>
      <x:c r="B16" s="10" t="n">
        <x:f>'Inputs'!B19-'Inputs'!B20</x:f>
        <x:v>-6</x:v>
      </x:c>
      <x:c r="C16" s="7" t="str">
        <x:v>18 - 24 = -6</x:v>
      </x:c>
      <x:c r="D16" s="7" t="str">
        <x:v>Both</x:v>
      </x:c>
      <x:c r="E16" s="7" t="str">
        <x:v>Negative means shrinking; assumes no reopens</x:v>
      </x:c>
    </x:row>
    <x:row r="17" ht="25" customHeight="1">
      <x:c r="A17" s="7" t="str">
        <x:v>Average serious defect age (days)</x:v>
      </x:c>
      <x:c r="B17" s="11" t="n">
        <x:f>IF(SUM('Inputs'!B15:'Inputs'!B16)=0,"n.a.",'Inputs'!B21/SUM('Inputs'!B15:'Inputs'!B16))</x:f>
        <x:v>9</x:v>
      </x:c>
      <x:c r="C17" s="7" t="str">
        <x:v>54 / 6 = 9 days</x:v>
      </x:c>
      <x:c r="D17" s="7" t="str">
        <x:v>Both</x:v>
      </x:c>
      <x:c r="E17" s="7" t="str">
        <x:v>Calendar age of open critical/high defects</x:v>
      </x:c>
    </x:row>
    <x:row r="18" ht="25" customHeight="1">
      <x:c r="A18" s="7" t="str">
        <x:v>Serious defects aged &gt;7 days</x:v>
      </x:c>
      <x:c r="B18" s="9" t="n">
        <x:f>'Inputs'!B22</x:f>
        <x:v>2</x:v>
      </x:c>
      <x:c r="C18" s="7" t="str">
        <x:v>2 defects</x:v>
      </x:c>
      <x:c r="D18" s="7" t="str">
        <x:v>Both</x:v>
      </x:c>
      <x:c r="E18" s="7" t="str">
        <x:v>Prioritize long-standing serious defects</x:v>
      </x:c>
    </x:row>
    <x:row r="19" ht="25" customHeight="1">
      <x:c r="A19" s="7" t="str">
        <x:v>Escaped defects (30-day window)</x:v>
      </x:c>
      <x:c r="B19" s="9" t="n">
        <x:f>'Inputs'!B24</x:f>
        <x:v>5</x:v>
      </x:c>
      <x:c r="C19" s="7" t="str">
        <x:v>5 defects</x:v>
      </x:c>
      <x:c r="D19" s="7" t="str">
        <x:v>Manager</x:v>
      </x:c>
      <x:c r="E19" s="7" t="str">
        <x:v>Released R1; separate from candidate snapshot</x:v>
      </x:c>
    </x:row>
    <x:row r="20" ht="25" customHeight="1">
      <x:c r="A20" s="7" t="str">
        <x:v>Defect escape rate</x:v>
      </x:c>
      <x:c r="B20" s="8" t="n">
        <x:f>IF(SUM('Inputs'!B23:'Inputs'!B24)=0,"n.a.",'Inputs'!B24/SUM('Inputs'!B23:'Inputs'!B24))</x:f>
        <x:v>0.05</x:v>
      </x:c>
      <x:c r="C20" s="7" t="str">
        <x:v>5 / (95 + 5) = 5%</x:v>
      </x:c>
      <x:c r="D20" s="7" t="str">
        <x:v>Manager</x:v>
      </x:c>
      <x:c r="E20" s="7" t="str">
        <x:v>Same release and fixed observation window</x:v>
      </x:c>
    </x:row>
    <x:row r="21" ht="25" customHeight="1">
      <x:c r="A21" s="7" t="str">
        <x:v>Regression execution progress</x:v>
      </x:c>
      <x:c r="B21" s="8" t="n">
        <x:f>IF('Inputs'!B25=0,"n.a.",SUM('Inputs'!B26:'Inputs'!B27)/'Inputs'!B25)</x:f>
        <x:v>0.95</x:v>
      </x:c>
      <x:c r="C21" s="7" t="str">
        <x:v>190 / 200 = 95%</x:v>
      </x:c>
      <x:c r="D21" s="7" t="str">
        <x:v>Lead</x:v>
      </x:c>
      <x:c r="E21" s="7" t="str">
        <x:v>Pass + fail divided by required regression</x:v>
      </x:c>
    </x:row>
    <x:row r="22" ht="25" customHeight="1">
      <x:c r="A22" s="7" t="str">
        <x:v>Regression passed / required</x:v>
      </x:c>
      <x:c r="B22" s="8" t="n">
        <x:f>IF('Inputs'!B25=0,"n.a.",'Inputs'!B26/'Inputs'!B25)</x:f>
        <x:v>0.9</x:v>
      </x:c>
      <x:c r="C22" s="7" t="str">
        <x:v>180 / 200 = 90%</x:v>
      </x:c>
      <x:c r="D22" s="7" t="str">
        <x:v>Lead</x:v>
      </x:c>
      <x:c r="E22" s="7" t="str">
        <x:v>Completion and quality against full scope</x:v>
      </x:c>
    </x:row>
    <x:row r="23" ht="25" customHeight="1">
      <x:c r="A23" s="7" t="str">
        <x:v>Automation coverage</x:v>
      </x:c>
      <x:c r="B23" s="8" t="n">
        <x:f>IF('Inputs'!B30=0,"n.a.",'Inputs'!B31/'Inputs'!B30)</x:f>
        <x:v>0.7</x:v>
      </x:c>
      <x:c r="C23" s="7" t="str">
        <x:v>280 / 400 = 70%</x:v>
      </x:c>
      <x:c r="D23" s="7" t="str">
        <x:v>Both</x:v>
      </x:c>
      <x:c r="E23" s="7" t="str">
        <x:v>Use eligible scope, not all tests</x:v>
      </x:c>
    </x:row>
    <x:row r="24" ht="25" customHeight="1">
      <x:c r="A24" s="7" t="str">
        <x:v>Flaky test rate</x:v>
      </x:c>
      <x:c r="B24" s="8" t="n">
        <x:f>IF('Inputs'!B31=0,"n.a.",'Inputs'!B32/'Inputs'!B31)</x:f>
        <x:v>0.05</x:v>
      </x:c>
      <x:c r="C24" s="7" t="str">
        <x:v>14 / 280 = 5%</x:v>
      </x:c>
      <x:c r="D24" s="7" t="str">
        <x:v>Lead</x:v>
      </x:c>
      <x:c r="E24" s="7" t="str">
        <x:v>Inconsistent results without product changes</x:v>
      </x:c>
    </x:row>
    <x:row r="25" ht="25" customHeight="1">
      <x:c r="A25" s="7" t="str">
        <x:v>Lost testing capacity</x:v>
      </x:c>
      <x:c r="B25" s="8" t="n">
        <x:f>IF('Inputs'!B34=0,"n.a.",'Inputs'!B33/'Inputs'!B34)</x:f>
        <x:v>0.044444444444444446</x:v>
      </x:c>
      <x:c r="C25" s="7" t="str">
        <x:v>16 / 360 = 4.4%</x:v>
      </x:c>
      <x:c r="D25" s="7" t="str">
        <x:v>Lead</x:v>
      </x:c>
      <x:c r="E25" s="7" t="str">
        <x:v>Same team, week and person-hour unit</x:v>
      </x:c>
    </x:row>
    <x:row r="26" ht="25" customHeight="1">
      <x:c r="A26" s="7" t="str">
        <x:v>Critical scenarios unproven</x:v>
      </x:c>
      <x:c r="B26" s="9" t="n">
        <x:f>'Inputs'!B35</x:f>
        <x:v>3</x:v>
      </x:c>
      <x:c r="C26" s="7" t="str">
        <x:v>3 scenarios</x:v>
      </x:c>
      <x:c r="D26" s="7" t="str">
        <x:v>Manager</x:v>
      </x:c>
      <x:c r="E26" s="7" t="str">
        <x:v>Untested or failed; avoid duplicate counting</x:v>
      </x:c>
    </x:row>
    <x:row r="27" ht="25" customHeight="1">
      <x:c r="A27" s="7" t="str">
        <x:v>Unmet non-functional targets</x:v>
      </x:c>
      <x:c r="B27" s="9" t="n">
        <x:f>'Inputs'!B36</x:f>
        <x:v>1</x:v>
      </x:c>
      <x:c r="C27" s="7" t="str">
        <x:v>1 target missed</x:v>
      </x:c>
      <x:c r="D27" s="7" t="str">
        <x:v>Manager</x:v>
      </x:c>
      <x:c r="E27" s="7" t="str">
        <x:v>Performance, reliability or security target</x:v>
      </x:c>
    </x:row>
    <x:row r="28" ht="25" customHeight="1">
      <x:c r="A28" s="7" t="str">
        <x:v>Unaccepted release risks</x:v>
      </x:c>
      <x:c r="B28" s="9" t="n">
        <x:f>'Inputs'!B37</x:f>
        <x:v>2</x:v>
      </x:c>
      <x:c r="C28" s="7" t="str">
        <x:v>2 risk register entries</x:v>
      </x:c>
      <x:c r="D28" s="7" t="str">
        <x:v>Manager</x:v>
      </x:c>
      <x:c r="E28" s="7" t="str">
        <x:v>Review individually; counts can overlap</x:v>
      </x:c>
    </x:row>
    <x:row r="29" ht="25" customHeight="1">
      <x:c r="A29" s="7"/>
      <x:c r="B29" s="7"/>
      <x:c r="C29" s="7"/>
      <x:c r="D29" s="7"/>
      <x:c r="E29" s="7"/>
    </x:row>
    <x:row r="30" ht="25" customHeight="1">
      <x:c r="A30" s="7"/>
      <x:c r="B30" s="7"/>
      <x:c r="C30" s="7"/>
      <x:c r="D30" s="7"/>
      <x:c r="E30" s="7"/>
    </x:row>
    <x:row r="31" ht="25" customHeight="1">
      <x:c r="A31" s="7" t="str">
        <x:v>Input consistency</x:v>
      </x:c>
      <x:c r="B31" s="7"/>
      <x:c r="C31" s="7"/>
      <x:c r="D31" s="7"/>
      <x:c r="E31" s="7"/>
    </x:row>
    <x:row r="32" ht="25" customHeight="1">
      <x:c r="A32" s="7" t="str">
        <x:v>Test outcomes equal planned scope</x:v>
      </x:c>
      <x:c r="B32" s="7" t="str">
        <x:f>IF(SUM('Inputs'!B11:B14)='Inputs'!B10,"OK","Check inputs")</x:f>
        <x:v>OK</x:v>
      </x:c>
      <x:c r="C32" s="7"/>
      <x:c r="D32" s="7"/>
      <x:c r="E32" s="7"/>
    </x:row>
    <x:row r="33" ht="25" customHeight="1">
      <x:c r="A33" s="7" t="str">
        <x:v>Regression outcomes equal scope</x:v>
      </x:c>
      <x:c r="B33" s="7" t="str">
        <x:f>IF(SUM('Inputs'!B26:B29)='Inputs'!B25,"OK","Check inputs")</x:f>
        <x:v>OK</x:v>
      </x:c>
      <x:c r="C33" s="7"/>
      <x:c r="D33" s="7"/>
      <x:c r="E33" s="7"/>
    </x:row>
  </x:sheetData>
  <x:conditionalFormatting sqref="B32:B33">
    <x:cfRule type="containsText" dxfId="0" priority="1" operator="containsText" text="Check input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9" hidden="0" customWidth="1"/>
    <x:col min="2" max="2" width="22" hidden="0" customWidth="1"/>
    <x:col min="3" max="3" width="61" hidden="0" customWidth="1"/>
    <x:col min="4" max="4" width="21" hidden="0" customWidth="1"/>
    <x:col min="5" max="5" width="61" hidden="0" customWidth="1"/>
  </x:cols>
  <x:sheetData>
    <x:row r="1" ht="25" customHeight="1">
      <x:c r="A1" s="7"/>
      <x:c r="B1" s="7"/>
      <x:c r="C1" s="7"/>
      <x:c r="D1" s="7"/>
      <x:c r="E1" s="7"/>
    </x:row>
    <x:row r="2" ht="25" customHeight="1">
      <x:c r="A2" s="12" t="str">
        <x:v>Editable sample inputs</x:v>
      </x:c>
      <x:c r="B2" s="7"/>
      <x:c r="C2" s="7"/>
      <x:c r="D2" s="7"/>
      <x:c r="E2" s="7"/>
    </x:row>
    <x:row r="3" ht="25" customHeight="1">
      <x:c r="A3" s="7" t="str">
        <x:v>Source: fictional 4G/5G product example. Release R1; snapshot 13 Oct 2026; week 5–11 Oct 2026.</x:v>
      </x:c>
      <x:c r="B3" s="7"/>
      <x:c r="C3" s="7"/>
      <x:c r="D3" s="7"/>
      <x:c r="E3" s="7"/>
    </x:row>
    <x:row r="4" ht="25" customHeight="1">
      <x:c r="A4" s="7"/>
      <x:c r="B4" s="7"/>
      <x:c r="C4" s="7"/>
      <x:c r="D4" s="7"/>
      <x:c r="E4" s="7"/>
    </x:row>
    <x:row r="5" ht="34" customHeight="1">
      <x:c r="A5" s="14" t="str">
        <x:v>Input</x:v>
      </x:c>
      <x:c r="B5" s="14" t="str">
        <x:v>Value</x:v>
      </x:c>
      <x:c r="C5" s="14" t="str">
        <x:v>Scope / definition</x:v>
      </x:c>
      <x:c r="D5" s="7"/>
      <x:c r="E5" s="7"/>
    </x:row>
    <x:row r="6" ht="25" customHeight="1">
      <x:c r="A6" s="7" t="str">
        <x:v>Total testable requirements</x:v>
      </x:c>
      <x:c r="B6" s="18" t="n">
        <x:v>120</x:v>
      </x:c>
      <x:c r="C6" s="7" t="str">
        <x:v>Current release</x:v>
      </x:c>
      <x:c r="D6" s="7"/>
      <x:c r="E6" s="7"/>
    </x:row>
    <x:row r="7" ht="25" customHeight="1">
      <x:c r="A7" s="7" t="str">
        <x:v>Requirements with linked tests</x:v>
      </x:c>
      <x:c r="B7" s="18" t="n">
        <x:v>114</x:v>
      </x:c>
      <x:c r="C7" s="7" t="str">
        <x:v>Distinct requirements, not test count</x:v>
      </x:c>
      <x:c r="D7" s="7"/>
      <x:c r="E7" s="7"/>
    </x:row>
    <x:row r="8" ht="25" customHeight="1">
      <x:c r="A8" s="7" t="str">
        <x:v>Critical requirements</x:v>
      </x:c>
      <x:c r="B8" s="18" t="n">
        <x:v>30</x:v>
      </x:c>
      <x:c r="C8" s="7" t="str">
        <x:v>Current release</x:v>
      </x:c>
      <x:c r="D8" s="7"/>
      <x:c r="E8" s="7"/>
    </x:row>
    <x:row r="9" ht="25" customHeight="1">
      <x:c r="A9" s="7" t="str">
        <x:v>Critical requirements tested and passed</x:v>
      </x:c>
      <x:c r="B9" s="18" t="n">
        <x:v>27</x:v>
      </x:c>
      <x:c r="C9" s="7" t="str">
        <x:v>All required tests passed</x:v>
      </x:c>
      <x:c r="D9" s="7"/>
      <x:c r="E9" s="7"/>
    </x:row>
    <x:row r="10" ht="25" customHeight="1">
      <x:c r="A10" s="7" t="str">
        <x:v>Planned tests</x:v>
      </x:c>
      <x:c r="B10" s="18" t="n">
        <x:v>500</x:v>
      </x:c>
      <x:c r="C10" s="7" t="str">
        <x:v>Latest outcome per test on current candidate</x:v>
      </x:c>
      <x:c r="D10" s="7"/>
      <x:c r="E10" s="7"/>
    </x:row>
    <x:row r="11" ht="25" customHeight="1">
      <x:c r="A11" s="7" t="str">
        <x:v>Passed tests</x:v>
      </x:c>
      <x:c r="B11" s="18" t="n">
        <x:v>380</x:v>
      </x:c>
      <x:c r="C11" s="7" t="str">
        <x:v>Latest result</x:v>
      </x:c>
      <x:c r="D11" s="7"/>
      <x:c r="E11" s="7"/>
    </x:row>
    <x:row r="12" ht="25" customHeight="1">
      <x:c r="A12" s="7" t="str">
        <x:v>Failed tests</x:v>
      </x:c>
      <x:c r="B12" s="18" t="n">
        <x:v>40</x:v>
      </x:c>
      <x:c r="C12" s="7" t="str">
        <x:v>Latest result</x:v>
      </x:c>
      <x:c r="D12" s="7"/>
      <x:c r="E12" s="7"/>
    </x:row>
    <x:row r="13" ht="25" customHeight="1">
      <x:c r="A13" s="7" t="str">
        <x:v>Blocked tests</x:v>
      </x:c>
      <x:c r="B13" s="18" t="n">
        <x:v>30</x:v>
      </x:c>
      <x:c r="C13" s="7" t="str">
        <x:v>Excluded from executed denominator</x:v>
      </x:c>
      <x:c r="D13" s="7"/>
      <x:c r="E13" s="7"/>
    </x:row>
    <x:row r="14" ht="25" customHeight="1">
      <x:c r="A14" s="7" t="str">
        <x:v>Not run tests</x:v>
      </x:c>
      <x:c r="B14" s="18" t="n">
        <x:v>50</x:v>
      </x:c>
      <x:c r="C14" s="7" t="str">
        <x:v>Excluded from executed denominator</x:v>
      </x:c>
      <x:c r="D14" s="7"/>
      <x:c r="E14" s="7"/>
    </x:row>
    <x:row r="15" ht="25" customHeight="1">
      <x:c r="A15" s="7" t="str">
        <x:v>Open critical defects</x:v>
      </x:c>
      <x:c r="B15" s="18" t="n">
        <x:v>1</x:v>
      </x:c>
      <x:c r="C15" s="7" t="str">
        <x:v>As of reporting date</x:v>
      </x:c>
      <x:c r="D15" s="7"/>
      <x:c r="E15" s="7"/>
    </x:row>
    <x:row r="16" ht="25" customHeight="1">
      <x:c r="A16" s="7" t="str">
        <x:v>Open high defects</x:v>
      </x:c>
      <x:c r="B16" s="18" t="n">
        <x:v>5</x:v>
      </x:c>
      <x:c r="C16" s="7" t="str">
        <x:v>As of reporting date</x:v>
      </x:c>
      <x:c r="D16" s="7"/>
      <x:c r="E16" s="7"/>
    </x:row>
    <x:row r="17" ht="25" customHeight="1">
      <x:c r="A17" s="7" t="str">
        <x:v>Open medium defects</x:v>
      </x:c>
      <x:c r="B17" s="18" t="n">
        <x:v>12</x:v>
      </x:c>
      <x:c r="C17" s="7" t="str">
        <x:v>As of reporting date</x:v>
      </x:c>
      <x:c r="D17" s="7"/>
      <x:c r="E17" s="7"/>
    </x:row>
    <x:row r="18" ht="25" customHeight="1">
      <x:c r="A18" s="7" t="str">
        <x:v>Open low defects</x:v>
      </x:c>
      <x:c r="B18" s="18" t="n">
        <x:v>8</x:v>
      </x:c>
      <x:c r="C18" s="7" t="str">
        <x:v>As of reporting date</x:v>
      </x:c>
      <x:c r="D18" s="7"/>
      <x:c r="E18" s="7"/>
    </x:row>
    <x:row r="19" ht="25" customHeight="1">
      <x:c r="A19" s="7" t="str">
        <x:v>New defects this week</x:v>
      </x:c>
      <x:c r="B19" s="18" t="n">
        <x:v>18</x:v>
      </x:c>
      <x:c r="C19" s="7" t="str">
        <x:v>Distinct valid defects</x:v>
      </x:c>
      <x:c r="D19" s="7"/>
      <x:c r="E19" s="7"/>
    </x:row>
    <x:row r="20" ht="25" customHeight="1">
      <x:c r="A20" s="7" t="str">
        <x:v>Closed defects this week</x:v>
      </x:c>
      <x:c r="B20" s="18" t="n">
        <x:v>24</x:v>
      </x:c>
      <x:c r="C20" s="7" t="str">
        <x:v>Verified closures</x:v>
      </x:c>
      <x:c r="D20" s="7"/>
      <x:c r="E20" s="7"/>
    </x:row>
    <x:row r="21" ht="25" customHeight="1">
      <x:c r="A21" s="7" t="str">
        <x:v>Open critical/high total age (days)</x:v>
      </x:c>
      <x:c r="B21" s="18" t="n">
        <x:v>54</x:v>
      </x:c>
      <x:c r="C21" s="7" t="str">
        <x:v>Sum of ages of the 6 open serious defects</x:v>
      </x:c>
      <x:c r="D21" s="7"/>
      <x:c r="E21" s="7"/>
    </x:row>
    <x:row r="22" ht="25" customHeight="1">
      <x:c r="A22" s="7" t="str">
        <x:v>Open critical/high older than 7 days</x:v>
      </x:c>
      <x:c r="B22" s="18" t="n">
        <x:v>2</x:v>
      </x:c>
      <x:c r="C22" s="7" t="str">
        <x:v>Age &gt;7 calendar days</x:v>
      </x:c>
      <x:c r="D22" s="7"/>
      <x:c r="E22" s="7"/>
    </x:row>
    <x:row r="23" ht="25" customHeight="1">
      <x:c r="A23" s="7" t="str">
        <x:v>Pre-release defects in released version</x:v>
      </x:c>
      <x:c r="B23" s="18" t="n">
        <x:v>95</x:v>
      </x:c>
      <x:c r="C23" s="7" t="str">
        <x:v>Same released version as escaped defects</x:v>
      </x:c>
      <x:c r="D23" s="7"/>
      <x:c r="E23" s="7"/>
    </x:row>
    <x:row r="24" ht="25" customHeight="1">
      <x:c r="A24" s="7" t="str">
        <x:v>Escaped defects within 30 days</x:v>
      </x:c>
      <x:c r="B24" s="18" t="n">
        <x:v>5</x:v>
      </x:c>
      <x:c r="C24" s="7" t="str">
        <x:v>Distinct confirmed defects in that version</x:v>
      </x:c>
      <x:c r="D24" s="7"/>
      <x:c r="E24" s="7"/>
    </x:row>
    <x:row r="25" ht="25" customHeight="1">
      <x:c r="A25" s="7" t="str">
        <x:v>Required regression tests</x:v>
      </x:c>
      <x:c r="B25" s="18" t="n">
        <x:v>200</x:v>
      </x:c>
      <x:c r="C25" s="7" t="str">
        <x:v>Current release candidate</x:v>
      </x:c>
      <x:c r="D25" s="7"/>
      <x:c r="E25" s="7"/>
    </x:row>
    <x:row r="26" ht="25" customHeight="1">
      <x:c r="A26" s="7" t="str">
        <x:v>Passed regression tests</x:v>
      </x:c>
      <x:c r="B26" s="18" t="n">
        <x:v>180</x:v>
      </x:c>
      <x:c r="C26" s="7" t="str">
        <x:v>Latest outcomes</x:v>
      </x:c>
      <x:c r="D26" s="7"/>
      <x:c r="E26" s="7"/>
    </x:row>
    <x:row r="27" ht="25" customHeight="1">
      <x:c r="A27" s="7" t="str">
        <x:v>Failed regression tests</x:v>
      </x:c>
      <x:c r="B27" s="18" t="n">
        <x:v>10</x:v>
      </x:c>
      <x:c r="C27" s="7" t="str">
        <x:v>Latest outcomes</x:v>
      </x:c>
      <x:c r="D27" s="7"/>
      <x:c r="E27" s="7"/>
    </x:row>
    <x:row r="28" ht="25" customHeight="1">
      <x:c r="A28" s="7" t="str">
        <x:v>Blocked regression tests</x:v>
      </x:c>
      <x:c r="B28" s="18" t="n">
        <x:v>5</x:v>
      </x:c>
      <x:c r="C28" s="7" t="str">
        <x:v>Latest outcomes</x:v>
      </x:c>
      <x:c r="D28" s="7"/>
      <x:c r="E28" s="7"/>
    </x:row>
    <x:row r="29" ht="25" customHeight="1">
      <x:c r="A29" s="7" t="str">
        <x:v>Not run regression tests</x:v>
      </x:c>
      <x:c r="B29" s="18" t="n">
        <x:v>5</x:v>
      </x:c>
      <x:c r="C29" s="7" t="str">
        <x:v>Latest outcomes</x:v>
      </x:c>
      <x:c r="D29" s="7"/>
      <x:c r="E29" s="7"/>
    </x:row>
    <x:row r="30" ht="25" customHeight="1">
      <x:c r="A30" s="7" t="str">
        <x:v>Automation-eligible tests</x:v>
      </x:c>
      <x:c r="B30" s="18" t="n">
        <x:v>400</x:v>
      </x:c>
      <x:c r="C30" s="7" t="str">
        <x:v>Agreed scope</x:v>
      </x:c>
      <x:c r="D30" s="7"/>
      <x:c r="E30" s="7"/>
    </x:row>
    <x:row r="31" ht="25" customHeight="1">
      <x:c r="A31" s="7" t="str">
        <x:v>Automated tests</x:v>
      </x:c>
      <x:c r="B31" s="18" t="n">
        <x:v>280</x:v>
      </x:c>
      <x:c r="C31" s="7" t="str">
        <x:v>Subset of eligible tests</x:v>
      </x:c>
      <x:c r="D31" s="7"/>
      <x:c r="E31" s="7"/>
    </x:row>
    <x:row r="32" ht="25" customHeight="1">
      <x:c r="A32" s="7" t="str">
        <x:v>Flaky tests observed</x:v>
      </x:c>
      <x:c r="B32" s="18" t="n">
        <x:v>14</x:v>
      </x:c>
      <x:c r="C32" s="7" t="str">
        <x:v>Among 280 automated tests in 10-run window</x:v>
      </x:c>
      <x:c r="D32" s="7"/>
      <x:c r="E32" s="7"/>
    </x:row>
    <x:row r="33" ht="25" customHeight="1">
      <x:c r="A33" s="7" t="str">
        <x:v>Lost testing hours</x:v>
      </x:c>
      <x:c r="B33" s="18" t="n">
        <x:v>16</x:v>
      </x:c>
      <x:c r="C33" s="7" t="str">
        <x:v>Blocked time, summed person-hours</x:v>
      </x:c>
      <x:c r="D33" s="7"/>
      <x:c r="E33" s="7"/>
    </x:row>
    <x:row r="34" ht="25" customHeight="1">
      <x:c r="A34" s="7" t="str">
        <x:v>Available testing hours</x:v>
      </x:c>
      <x:c r="B34" s="18" t="n">
        <x:v>360</x:v>
      </x:c>
      <x:c r="C34" s="7" t="str">
        <x:v>Same week and team</x:v>
      </x:c>
      <x:c r="D34" s="7"/>
      <x:c r="E34" s="7"/>
    </x:row>
    <x:row r="35" ht="25" customHeight="1">
      <x:c r="A35" s="7" t="str">
        <x:v>Critical scenarios untested or failed</x:v>
      </x:c>
      <x:c r="B35" s="18" t="n">
        <x:v>3</x:v>
      </x:c>
      <x:c r="C35" s="7" t="str">
        <x:v>Distinct critical scenarios</x:v>
      </x:c>
      <x:c r="D35" s="7"/>
      <x:c r="E35" s="7"/>
    </x:row>
    <x:row r="36" ht="25" customHeight="1">
      <x:c r="A36" s="7" t="str">
        <x:v>Unmet non-functional targets</x:v>
      </x:c>
      <x:c r="B36" s="18" t="n">
        <x:v>1</x:v>
      </x:c>
      <x:c r="C36" s="7" t="str">
        <x:v>Count of agreed targets missed</x:v>
      </x:c>
      <x:c r="D36" s="7"/>
      <x:c r="E36" s="7"/>
    </x:row>
    <x:row r="37" ht="25" customHeight="1">
      <x:c r="A37" s="7" t="str">
        <x:v>Unaccepted release risks</x:v>
      </x:c>
      <x:c r="B37" s="18" t="n">
        <x:v>2</x:v>
      </x:c>
      <x:c r="C37" s="7" t="str">
        <x:v>Risk register entries awaiting acceptance/action</x:v>
      </x:c>
      <x:c r="D37" s="7"/>
      <x:c r="E37" s="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9" hidden="0" customWidth="1"/>
    <x:col min="2" max="2" width="22" hidden="0" customWidth="1"/>
    <x:col min="3" max="3" width="32" hidden="0" customWidth="1"/>
    <x:col min="4" max="4" width="21" hidden="0" customWidth="1"/>
    <x:col min="5" max="5" width="61" hidden="0" customWidth="1"/>
  </x:cols>
  <x:sheetData>
    <x:row r="1" ht="25" customHeight="1">
      <x:c r="A1" s="7"/>
      <x:c r="B1" s="7"/>
      <x:c r="C1" s="7"/>
      <x:c r="D1" s="7"/>
      <x:c r="E1" s="7"/>
    </x:row>
    <x:row r="2" ht="25" customHeight="1">
      <x:c r="A2" s="12" t="str">
        <x:v>Telecom quality calculations</x:v>
      </x:c>
      <x:c r="B2" s="7"/>
      <x:c r="C2" s="7"/>
      <x:c r="D2" s="7"/>
      <x:c r="E2" s="7"/>
    </x:row>
    <x:row r="3" ht="25" customHeight="1">
      <x:c r="A3" s="7" t="str">
        <x:v>Fictional run: 100k UE target. Amber = input; ratios compare stated numerator and denominator.</x:v>
      </x:c>
      <x:c r="B3" s="7"/>
      <x:c r="C3" s="7"/>
      <x:c r="D3" s="7"/>
      <x:c r="E3" s="7"/>
    </x:row>
    <x:row r="4" ht="25" customHeight="1">
      <x:c r="A4" s="7"/>
      <x:c r="B4" s="7"/>
      <x:c r="C4" s="7"/>
      <x:c r="D4" s="7"/>
      <x:c r="E4" s="7"/>
    </x:row>
    <x:row r="5" ht="34" customHeight="1">
      <x:c r="A5" s="14" t="str">
        <x:v>Metric</x:v>
      </x:c>
      <x:c r="B5" s="14" t="str">
        <x:v>Numerator / actual</x:v>
      </x:c>
      <x:c r="C5" s="14" t="str">
        <x:v>Denominator / target</x:v>
      </x:c>
      <x:c r="D5" s="14" t="str">
        <x:v>Calculated result</x:v>
      </x:c>
      <x:c r="E5" s="14" t="str">
        <x:v>Definition</x:v>
      </x:c>
    </x:row>
    <x:row r="6" ht="25" customHeight="1">
      <x:c r="A6" s="7" t="str">
        <x:v>Registration success rate</x:v>
      </x:c>
      <x:c r="B6" s="18" t="n">
        <x:v>99800</x:v>
      </x:c>
      <x:c r="C6" s="18" t="n">
        <x:v>100000</x:v>
      </x:c>
      <x:c r="D6" s="15" t="n">
        <x:f>IF(C6=0,"n.a.",B6/C6)</x:f>
        <x:v>0.998</x:v>
      </x:c>
      <x:c r="E6" s="7" t="str">
        <x:v>Successful / attempted registrations</x:v>
      </x:c>
    </x:row>
    <x:row r="7" ht="25" customHeight="1">
      <x:c r="A7" s="7" t="str">
        <x:v>PDU session success rate</x:v>
      </x:c>
      <x:c r="B7" s="18" t="n">
        <x:v>98500</x:v>
      </x:c>
      <x:c r="C7" s="18" t="n">
        <x:v>100000</x:v>
      </x:c>
      <x:c r="D7" s="15" t="n">
        <x:f>IF(C7=0,"n.a.",B7/C7)</x:f>
        <x:v>0.985</x:v>
      </x:c>
      <x:c r="E7" s="7" t="str">
        <x:v>Successful / attempted establishments</x:v>
      </x:c>
    </x:row>
    <x:row r="8" ht="25" customHeight="1">
      <x:c r="A8" s="7" t="str">
        <x:v>Target UE scale reached</x:v>
      </x:c>
      <x:c r="B8" s="18" t="n">
        <x:v>95000</x:v>
      </x:c>
      <x:c r="C8" s="18" t="n">
        <x:v>100000</x:v>
      </x:c>
      <x:c r="D8" s="8" t="n">
        <x:f>IF(C8=0,"n.a.",B8/C8)</x:f>
        <x:v>0.95</x:v>
      </x:c>
      <x:c r="E8" s="7" t="str">
        <x:v>Peak concurrent UEs / target UEs</x:v>
      </x:c>
    </x:row>
    <x:row r="9" ht="25" customHeight="1">
      <x:c r="A9" s="7" t="str">
        <x:v>Procedure throughput (per second)</x:v>
      </x:c>
      <x:c r="B9" s="18" t="n">
        <x:v>900000</x:v>
      </x:c>
      <x:c r="C9" s="18" t="n">
        <x:v>600</x:v>
      </x:c>
      <x:c r="D9" s="16" t="n">
        <x:f>IF(C9=0,"n.a.",B9/C9)</x:f>
        <x:v>1500</x:v>
      </x:c>
      <x:c r="E9" s="7" t="str">
        <x:v>Completed procedures / elapsed seconds</x:v>
      </x:c>
    </x:row>
    <x:row r="10" ht="25" customHeight="1">
      <x:c r="A10" s="7" t="str">
        <x:v>Packet loss rate</x:v>
      </x:c>
      <x:c r="B10" s="18" t="n">
        <x:v>2500</x:v>
      </x:c>
      <x:c r="C10" s="18" t="n">
        <x:v>1000000</x:v>
      </x:c>
      <x:c r="D10" s="15" t="n">
        <x:f>IF(C10=0,"n.a.",B10/C10)</x:f>
        <x:v>0.0025</x:v>
      </x:c>
      <x:c r="E10" s="7" t="str">
        <x:v>Lost / transmitted packets</x:v>
      </x:c>
    </x:row>
    <x:row r="11" ht="25" customHeight="1">
      <x:c r="A11" s="7" t="str">
        <x:v>XDR completeness</x:v>
      </x:c>
      <x:c r="B11" s="18" t="n">
        <x:v>997000</x:v>
      </x:c>
      <x:c r="C11" s="18" t="n">
        <x:v>1000000</x:v>
      </x:c>
      <x:c r="D11" s="15" t="n">
        <x:f>IF(C11=0,"n.a.",B11/C11)</x:f>
        <x:v>0.997</x:v>
      </x:c>
      <x:c r="E11" s="7" t="str">
        <x:v>Valid records / expected records</x:v>
      </x:c>
    </x:row>
    <x:row r="12" ht="25" customHeight="1">
      <x:c r="A12" s="7" t="str">
        <x:v>CP/UP correlation rate</x:v>
      </x:c>
      <x:c r="B12" s="18" t="n">
        <x:v>98000</x:v>
      </x:c>
      <x:c r="C12" s="18" t="n">
        <x:v>100000</x:v>
      </x:c>
      <x:c r="D12" s="15" t="n">
        <x:f>IF(C12=0,"n.a.",B12/C12)</x:f>
        <x:v>0.98</x:v>
      </x:c>
      <x:c r="E12" s="7" t="str">
        <x:v>Correctly correlated / eligible sessions</x:v>
      </x:c>
    </x:row>
    <x:row r="13" ht="25" customHeight="1">
      <x:c r="A13" s="7" t="str">
        <x:v>Unexpected session drop rate</x:v>
      </x:c>
      <x:c r="B13" s="18" t="n">
        <x:v>100</x:v>
      </x:c>
      <x:c r="C13" s="18" t="n">
        <x:v>100000</x:v>
      </x:c>
      <x:c r="D13" s="15" t="n">
        <x:f>IF(C13=0,"n.a.",B13/C13)</x:f>
        <x:v>0.001</x:v>
      </x:c>
      <x:c r="E13" s="7" t="str">
        <x:v>Unexpected drops / established sessions</x:v>
      </x:c>
    </x:row>
    <x:row r="14" ht="25" customHeight="1">
      <x:c r="A14" s="7" t="str">
        <x:v>Recovery time (seconds)</x:v>
      </x:c>
      <x:c r="B14" s="18" t="n">
        <x:v>85</x:v>
      </x:c>
      <x:c r="C14" s="18" t="n">
        <x:v>60</x:v>
      </x:c>
      <x:c r="D14" s="8" t="n">
        <x:f>IF(C14=0,"n.a.",B14/C14)</x:f>
        <x:v>1.4166666666666667</x:v>
      </x:c>
      <x:c r="E14" s="7" t="str">
        <x:v>Observed recovery / agreed maximum</x:v>
      </x:c>
    </x:row>
    <x:row r="15" ht="25" customHeight="1">
      <x:c r="A15" s="7" t="str">
        <x:v>Latency p95 (ms)</x:v>
      </x:c>
      <x:c r="B15" s="18" t="n">
        <x:v>120</x:v>
      </x:c>
      <x:c r="C15" s="18" t="n">
        <x:v>100</x:v>
      </x:c>
      <x:c r="D15" s="8" t="n">
        <x:f>IF(C15=0,"n.a.",B15/C15)</x:f>
        <x:v>1.2</x:v>
      </x:c>
      <x:c r="E15" s="7" t="str">
        <x:v>Measured p95 / agreed maximum</x:v>
      </x:c>
    </x:row>
    <x:row r="16" ht="25" customHeight="1">
      <x:c r="A16" s="7" t="str">
        <x:v>Memory growth (MB/hour)</x:v>
      </x:c>
      <x:c r="B16" s="18" t="n">
        <x:v>240</x:v>
      </x:c>
      <x:c r="C16" s="18" t="n">
        <x:v>24</x:v>
      </x:c>
      <x:c r="D16" s="11" t="n">
        <x:f>IF(C16=0,"n.a.",B16/C16)</x:f>
        <x:v>10</x:v>
      </x:c>
      <x:c r="E16" s="7" t="str">
        <x:v>End minus start memory / soak hours</x:v>
      </x:c>
    </x:row>
    <x:row r="17" ht="25" customHeight="1">
      <x:c r="A17" s="7"/>
      <x:c r="B17" s="7"/>
      <x:c r="C17" s="7"/>
      <x:c r="D17" s="7"/>
      <x:c r="E17" s="7"/>
    </x:row>
    <x:row r="18" ht="25" customHeight="1">
      <x:c r="A18" s="7"/>
      <x:c r="B18" s="7"/>
      <x:c r="C18" s="7"/>
      <x:c r="D18" s="7"/>
      <x:c r="E18" s="7"/>
    </x:row>
    <x:row r="19" ht="25" customHeight="1">
      <x:c r="A19" s="7" t="str">
        <x:v>Recovery and p95 ratios above 100% mean the maximum target was exceeded.</x:v>
      </x:c>
      <x:c r="B19" s="7"/>
      <x:c r="C19" s="7"/>
      <x:c r="D19" s="7"/>
      <x:c r="E19" s="7"/>
    </x:row>
    <x:row r="20" ht="25" customHeight="1">
      <x:c r="A20" s="7" t="str">
        <x:v>p95 is an input measured from latency samples; it is not an average. Memory input is end minus start.</x:v>
      </x:c>
      <x:c r="B20" s="7"/>
      <x:c r="C20" s="7"/>
      <x:c r="D20" s="7"/>
      <x:c r="E20" s="7"/>
    </x:row>
  </x:sheetData>
  <x:pageMargins left="0.7" right="0.7" top="0.75" bottom="0.75" header="0.3" footer="0.3"/>
</x:worksheet>
</file>