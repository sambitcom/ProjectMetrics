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e2cb1ff0648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" sheetId="1" r:id="R7b274e14a0ca4f8a"/>
    <x:sheet xmlns:r="http://schemas.openxmlformats.org/officeDocument/2006/relationships" name="Epics" sheetId="2" r:id="R6799a304fb39444f"/>
    <x:sheet xmlns:r="http://schemas.openxmlformats.org/officeDocument/2006/relationships" name="Requirements" sheetId="3" r:id="R50dab36a5718463d"/>
    <x:sheet xmlns:r="http://schemas.openxmlformats.org/officeDocument/2006/relationships" name="Stories" sheetId="4" r:id="Rd56b66e35a0a4444"/>
    <x:sheet xmlns:r="http://schemas.openxmlformats.org/officeDocument/2006/relationships" name="Tasks" sheetId="5" r:id="R0f521d14611441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sz val="11"/>
      <x:color rgb="FF1E293B"/>
      <x:name val="Arial"/>
    </x:font>
    <x:font>
      <x:b/>
      <x:sz val="16"/>
      <x:color rgb="FF1E293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95B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  <x:dxfs count="12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70b8b1d3448b8" /><Relationship Type="http://schemas.openxmlformats.org/officeDocument/2006/relationships/theme" Target="/xl/theme/theme1.xml" Id="Red5887aa19544044" /><Relationship Type="http://schemas.openxmlformats.org/officeDocument/2006/relationships/sharedStrings" Target="/xl/sharedStrings.xml" Id="R41280cfcca874e6f" /><Relationship Type="http://schemas.openxmlformats.org/officeDocument/2006/relationships/worksheet" Target="/xl/worksheets/sheet1.xml" Id="R7b274e14a0ca4f8a" /><Relationship Type="http://schemas.openxmlformats.org/officeDocument/2006/relationships/worksheet" Target="/xl/worksheets/sheet2.xml" Id="R6799a304fb39444f" /><Relationship Type="http://schemas.openxmlformats.org/officeDocument/2006/relationships/worksheet" Target="/xl/worksheets/sheet3.xml" Id="R50dab36a5718463d" /><Relationship Type="http://schemas.openxmlformats.org/officeDocument/2006/relationships/worksheet" Target="/xl/worksheets/sheet4.xml" Id="Rd56b66e35a0a4444" /><Relationship Type="http://schemas.openxmlformats.org/officeDocument/2006/relationships/worksheet" Target="/xl/worksheets/sheet5.xml" Id="R0f521d14611441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3" hidden="0" customWidth="1"/>
    <x:col min="2" max="2" width="20" hidden="0" customWidth="1"/>
    <x:col min="3" max="3" width="65" hidden="0" customWidth="1"/>
  </x:cols>
  <x:sheetData>
    <x:row r="1" ht="25" customHeight="1">
      <x:c r="A1" s="1"/>
      <x:c r="B1" s="1"/>
      <x:c r="C1" s="1"/>
    </x:row>
    <x:row r="2" ht="25" customHeight="1">
      <x:c r="A2" s="2" t="str">
        <x:v>ETS 2702 — Release</x:v>
      </x:c>
      <x:c r="B2" s="1"/>
      <x:c r="C2" s="1"/>
    </x:row>
    <x:row r="3" ht="25" customHeight="1">
      <x:c r="A3" s="1" t="str">
        <x:v>Baseline: 5 solution epics, 5 component epics, 25 shared stories, 25 functional requirements, 250 testable tasks.</x:v>
      </x:c>
      <x:c r="B3" s="1"/>
      <x:c r="C3" s="1"/>
    </x:row>
    <x:row r="4" ht="25" customHeight="1">
      <x:c r="A4" s="1" t="str">
        <x:v>Assumption: each solution epic maps to one component epic; the same 5 stories are shown at both levels.</x:v>
      </x:c>
      <x:c r="B4" s="1"/>
      <x:c r="C4" s="1"/>
    </x:row>
    <x:row r="5" ht="25" customHeight="1">
      <x:c r="A5" s="1" t="str">
        <x:v>Testable tasks are verification items, not automatically separate test cases. Sample results are illustrative.</x:v>
      </x:c>
      <x:c r="B5" s="1"/>
      <x:c r="C5" s="1"/>
    </x:row>
    <x:row r="6" ht="25" customHeight="1">
      <x:c r="A6" s="1"/>
      <x:c r="B6" s="1"/>
      <x:c r="C6" s="1"/>
    </x:row>
    <x:row r="7" ht="42" customHeight="1">
      <x:c r="A7" s="5" t="str">
        <x:v>Metric</x:v>
      </x:c>
      <x:c r="B7" s="5" t="str">
        <x:v>Calculated result</x:v>
      </x:c>
      <x:c r="C7" s="5" t="str">
        <x:v>Meaning / denominator</x:v>
      </x:c>
    </x:row>
    <x:row r="8" ht="25" customHeight="1">
      <x:c r="A8" s="1" t="str">
        <x:v>Solution epics</x:v>
      </x:c>
      <x:c r="B8" s="1" t="n">
        <x:f>COUNTA('Epics'!A6:A10)</x:f>
        <x:v>5</x:v>
      </x:c>
      <x:c r="C8" s="1" t="str">
        <x:v>5 solution-level scope groups</x:v>
      </x:c>
    </x:row>
    <x:row r="9" ht="25" customHeight="1">
      <x:c r="A9" s="1" t="str">
        <x:v>Component epics</x:v>
      </x:c>
      <x:c r="B9" s="1" t="n">
        <x:f>COUNTA('Epics'!B6:B10)</x:f>
        <x:v>5</x:v>
      </x:c>
      <x:c r="C9" s="1" t="str">
        <x:v>5 linked component groups</x:v>
      </x:c>
    </x:row>
    <x:row r="10" ht="25" customHeight="1">
      <x:c r="A10" s="1" t="str">
        <x:v>Unique user stories</x:v>
      </x:c>
      <x:c r="B10" s="1" t="n">
        <x:f>COUNTA('Stories'!A6:A30)</x:f>
        <x:v>25</x:v>
      </x:c>
      <x:c r="C10" s="1" t="str">
        <x:v>Shared IDs; do not count twice</x:v>
      </x:c>
    </x:row>
    <x:row r="11" ht="25" customHeight="1">
      <x:c r="A11" s="1" t="str">
        <x:v>Testable tasks</x:v>
      </x:c>
      <x:c r="B11" s="1" t="n">
        <x:f>COUNTA('Tasks'!A6:A255)</x:f>
        <x:v>250</x:v>
      </x:c>
      <x:c r="C11" s="1" t="str">
        <x:v>10 verification items per story</x:v>
      </x:c>
    </x:row>
    <x:row r="12" ht="25" customHeight="1">
      <x:c r="A12" s="1" t="str">
        <x:v>Functional requirements</x:v>
      </x:c>
      <x:c r="B12" s="1" t="n">
        <x:f>COUNTA('Requirements'!A6:A30)</x:f>
        <x:v>25</x:v>
      </x:c>
      <x:c r="C12" s="1" t="str">
        <x:v>5 per component epic</x:v>
      </x:c>
    </x:row>
    <x:row r="13" ht="25" customHeight="1">
      <x:c r="A13" s="1" t="str">
        <x:v>Must requirements</x:v>
      </x:c>
      <x:c r="B13" s="1" t="n">
        <x:f>COUNTIFS('Requirements'!D6:D30,"Must")</x:f>
        <x:v>20</x:v>
      </x:c>
      <x:c r="C13" s="1" t="str">
        <x:v>4 per epic in this baseline</x:v>
      </x:c>
    </x:row>
    <x:row r="14" ht="25" customHeight="1">
      <x:c r="A14" s="1" t="str">
        <x:v>Must share of requirements</x:v>
      </x:c>
      <x:c r="B14" s="7" t="n">
        <x:f>B13/B12</x:f>
        <x:v>0.8</x:v>
      </x:c>
      <x:c r="C14" s="1" t="str">
        <x:v>20 Must / 25 total</x:v>
      </x:c>
    </x:row>
    <x:row r="15" ht="25" customHeight="1">
      <x:c r="A15" s="1" t="str">
        <x:v>Epics meeting minimum 4 Must</x:v>
      </x:c>
      <x:c r="B15" s="1" t="n">
        <x:f>COUNTIFS('Epics'!E6:E10,"&gt;=4")</x:f>
        <x:v>5</x:v>
      </x:c>
      <x:c r="C15" s="1" t="str">
        <x:v>All 5 should meet the minimum</x:v>
      </x:c>
    </x:row>
    <x:row r="16" ht="25" customHeight="1">
      <x:c r="A16" s="1" t="str">
        <x:v>Requirements fully covered</x:v>
      </x:c>
      <x:c r="B16" s="1" t="n">
        <x:f>COUNTIFS('Requirements'!K6:K30,"Covered")</x:f>
        <x:v>24</x:v>
      </x:c>
      <x:c r="C16" s="1" t="str">
        <x:v>All 10 agreed verification tasks have tests</x:v>
      </x:c>
    </x:row>
    <x:row r="17" ht="25" customHeight="1">
      <x:c r="A17" s="1" t="str">
        <x:v>Requirements coverage</x:v>
      </x:c>
      <x:c r="B17" s="7" t="n">
        <x:f>B16/B12</x:f>
        <x:v>0.96</x:v>
      </x:c>
      <x:c r="C17" s="1" t="str">
        <x:v>Fully covered / 25 requirements</x:v>
      </x:c>
    </x:row>
    <x:row r="18" ht="25" customHeight="1">
      <x:c r="A18" s="1" t="str">
        <x:v>Must requirements fully covered</x:v>
      </x:c>
      <x:c r="B18" s="1" t="n">
        <x:f>SUMPRODUCT(('Requirements'!D6:D30="Must")*('Requirements'!K6:K30="Covered"))</x:f>
        <x:v>20</x:v>
      </x:c>
      <x:c r="C18" s="1" t="str">
        <x:v>Only Must requirement population</x:v>
      </x:c>
    </x:row>
    <x:row r="19" ht="25" customHeight="1">
      <x:c r="A19" s="1" t="str">
        <x:v>Must requirements coverage</x:v>
      </x:c>
      <x:c r="B19" s="7" t="n">
        <x:f>B18/B13</x:f>
        <x:v>1</x:v>
      </x:c>
      <x:c r="C19" s="1" t="str">
        <x:v>Fully covered Must / 20 Must</x:v>
      </x:c>
    </x:row>
    <x:row r="20" ht="25" customHeight="1">
      <x:c r="A20" s="1" t="str">
        <x:v>Tasks with tests</x:v>
      </x:c>
      <x:c r="B20" s="1" t="n">
        <x:f>COUNTIFS('Tasks'!G6:G255,"Yes")</x:f>
        <x:v>245</x:v>
      </x:c>
      <x:c r="C20" s="1" t="str">
        <x:v>Designed verification / 250 tasks</x:v>
      </x:c>
    </x:row>
    <x:row r="21" ht="25" customHeight="1">
      <x:c r="A21" s="1" t="str">
        <x:v>Task coverage</x:v>
      </x:c>
      <x:c r="B21" s="7" t="n">
        <x:f>B20/B11</x:f>
        <x:v>0.98</x:v>
      </x:c>
      <x:c r="C21" s="1" t="str">
        <x:v>Tested design items / all tasks</x:v>
      </x:c>
    </x:row>
    <x:row r="22" ht="25" customHeight="1">
      <x:c r="A22" s="1" t="str">
        <x:v>Must tasks</x:v>
      </x:c>
      <x:c r="B22" s="1" t="n">
        <x:f>COUNTIFS('Tasks'!F6:F255,"Must")</x:f>
        <x:v>200</x:v>
      </x:c>
      <x:c r="C22" s="1" t="str">
        <x:v>200 items attached to Must requirements</x:v>
      </x:c>
    </x:row>
    <x:row r="23" ht="25" customHeight="1">
      <x:c r="A23" s="1" t="str">
        <x:v>Automated Must tasks</x:v>
      </x:c>
      <x:c r="B23" s="1" t="n">
        <x:f>COUNTIFS('Tasks'!F6:F255,"Must",'Tasks'!H6:H255,"Yes")</x:f>
        <x:v>175</x:v>
      </x:c>
      <x:c r="C23" s="1" t="str">
        <x:v>Only Must tasks count toward target</x:v>
      </x:c>
    </x:row>
    <x:row r="24" ht="25" customHeight="1">
      <x:c r="A24" s="1" t="str">
        <x:v>Must task automation coverage</x:v>
      </x:c>
      <x:c r="B24" s="7" t="n">
        <x:f>B23/B22</x:f>
        <x:v>0.875</x:v>
      </x:c>
      <x:c r="C24" s="1" t="str">
        <x:v>Automated Must items / 200 Must items</x:v>
      </x:c>
    </x:row>
    <x:row r="25" ht="25" customHeight="1">
      <x:c r="A25" s="1" t="str">
        <x:v>Fully automated Must requirements</x:v>
      </x:c>
      <x:c r="B25" s="1" t="n">
        <x:f>SUMPRODUCT(('Requirements'!D6:D30="Must")*('Requirements'!L6:L30="Automated"))</x:f>
        <x:v>17</x:v>
      </x:c>
      <x:c r="C25" s="1" t="str">
        <x:v>All 10 tasks covered and automated</x:v>
      </x:c>
    </x:row>
    <x:row r="26" ht="25" customHeight="1">
      <x:c r="A26" s="1" t="str">
        <x:v>Must requirement automation coverage</x:v>
      </x:c>
      <x:c r="B26" s="7" t="n">
        <x:f>B25/B13</x:f>
        <x:v>0.85</x:v>
      </x:c>
      <x:c r="C26" s="1" t="str">
        <x:v>Fully automated Must / 20 Must; target 100%</x:v>
      </x:c>
    </x:row>
    <x:row r="27" ht="25" customHeight="1">
      <x:c r="A27" s="1" t="str">
        <x:v>Passed tasks</x:v>
      </x:c>
      <x:c r="B27" s="1" t="n">
        <x:f>COUNTIFS('Tasks'!I6:I255,"Passed")</x:f>
        <x:v>227</x:v>
      </x:c>
      <x:c r="C27" s="1" t="str">
        <x:v>Latest ETS 2702 candidate outcome</x:v>
      </x:c>
    </x:row>
    <x:row r="28" ht="25" customHeight="1">
      <x:c r="A28" s="1" t="str">
        <x:v>Failed tasks</x:v>
      </x:c>
      <x:c r="B28" s="1" t="n">
        <x:f>COUNTIFS('Tasks'!I6:I255,"Failed")</x:f>
        <x:v>3</x:v>
      </x:c>
      <x:c r="C28" s="1" t="str">
        <x:v>Latest outcome</x:v>
      </x:c>
    </x:row>
    <x:row r="29" ht="25" customHeight="1">
      <x:c r="A29" s="1" t="str">
        <x:v>Blocked tasks</x:v>
      </x:c>
      <x:c r="B29" s="1" t="n">
        <x:f>COUNTIFS('Tasks'!I6:I255,"Blocked")</x:f>
        <x:v>5</x:v>
      </x:c>
      <x:c r="C29" s="1" t="str">
        <x:v>Outside executed denominator</x:v>
      </x:c>
    </x:row>
    <x:row r="30" ht="25" customHeight="1">
      <x:c r="A30" s="1" t="str">
        <x:v>Not-run tasks</x:v>
      </x:c>
      <x:c r="B30" s="1" t="n">
        <x:f>COUNTIFS('Tasks'!I6:I255,"Not run")</x:f>
        <x:v>15</x:v>
      </x:c>
      <x:c r="C30" s="1" t="str">
        <x:v>Outside executed denominator</x:v>
      </x:c>
    </x:row>
    <x:row r="31" ht="25" customHeight="1">
      <x:c r="A31" s="1" t="str">
        <x:v>Executed tasks</x:v>
      </x:c>
      <x:c r="B31" s="1" t="n">
        <x:f>SUM(B27:B28)</x:f>
        <x:v>230</x:v>
      </x:c>
      <x:c r="C31" s="1" t="str">
        <x:v>Passed + failed</x:v>
      </x:c>
    </x:row>
    <x:row r="32" ht="25" customHeight="1">
      <x:c r="A32" s="1" t="str">
        <x:v>Execution progress</x:v>
      </x:c>
      <x:c r="B32" s="7" t="n">
        <x:f>B31/B11</x:f>
        <x:v>0.92</x:v>
      </x:c>
      <x:c r="C32" s="1" t="str">
        <x:v>Executed / all 250 tasks</x:v>
      </x:c>
    </x:row>
    <x:row r="33" ht="25" customHeight="1">
      <x:c r="A33" s="1" t="str">
        <x:v>Pass rate</x:v>
      </x:c>
      <x:c r="B33" s="7" t="n">
        <x:f>IF(B31=0,"n.a.",B27/B31)</x:f>
        <x:v>0.9869565217391304</x:v>
      </x:c>
      <x:c r="C33" s="1" t="str">
        <x:v>Passed / executed</x:v>
      </x:c>
    </x:row>
    <x:row r="34" ht="25" customHeight="1">
      <x:c r="A34" s="1" t="str">
        <x:v>Must requirements fully verified</x:v>
      </x:c>
      <x:c r="B34" s="1" t="n">
        <x:f>SUMPRODUCT(('Requirements'!D6:D30="Must")*('Requirements'!M6:M30="Verified"))</x:f>
        <x:v>17</x:v>
      </x:c>
      <x:c r="C34" s="1" t="str">
        <x:v>All 10 required tasks passed</x:v>
      </x:c>
    </x:row>
    <x:row r="35" ht="25" customHeight="1">
      <x:c r="A35" s="1" t="str">
        <x:v>Must requirement verified rate</x:v>
      </x:c>
      <x:c r="B35" s="7" t="n">
        <x:f>B34/B13</x:f>
        <x:v>0.85</x:v>
      </x:c>
      <x:c r="C35" s="1" t="str">
        <x:v>Fully verified Must / 20 Must</x:v>
      </x:c>
    </x:row>
    <x:row r="36" ht="25" customHeight="1">
      <x:c r="A36" s="1" t="str">
        <x:v>Stories fully verified</x:v>
      </x:c>
      <x:c r="B36" s="1" t="n">
        <x:f>COUNTIFS('Stories'!F6:F30,"Verified")</x:f>
        <x:v>21</x:v>
      </x:c>
      <x:c r="C36" s="1" t="str">
        <x:v>All 10 story tasks passed</x:v>
      </x:c>
    </x:row>
    <x:row r="37" ht="25" customHeight="1">
      <x:c r="A37" s="1" t="str">
        <x:v>Automation target</x:v>
      </x:c>
      <x:c r="B37" s="1" t="str">
        <x:f>IF(B26=1,"Met","Not met")</x:f>
        <x:v>Not met</x:v>
      </x:c>
      <x:c r="C37" s="1" t="str">
        <x:v>Requires automation of every Must requirement</x:v>
      </x:c>
    </x:row>
  </x:sheetData>
  <x:conditionalFormatting sqref="B37:B37">
    <x:cfRule type="containsText" dxfId="4" priority="1" operator="containsText" text="Gap"/>
    <x:cfRule type="containsText" dxfId="5" priority="2" operator="containsText" text="Pending"/>
    <x:cfRule type="containsText" dxfId="6" priority="3" operator="containsText" text="Not met"/>
    <x:cfRule type="containsText" dxfId="7" priority="4" operator="containsText" text="Check input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5" customHeight="1">
      <x:c r="A2" s="2" t="str">
        <x:v>ETS 2702 — Epics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5" customHeight="1">
      <x:c r="A3" s="1" t="str">
        <x:v>Each row pairs solution and component scope. Must requirement minimum is 4; exact baseline split is 4 Must + 1 Should.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2" customHeight="1">
      <x:c r="A5" s="5" t="str">
        <x:v>Solution epic</x:v>
      </x:c>
      <x:c r="B5" s="5" t="str">
        <x:v>Component epic</x:v>
      </x:c>
      <x:c r="C5" s="5" t="str">
        <x:v>Stories</x:v>
      </x:c>
      <x:c r="D5" s="5" t="str">
        <x:v>FRs</x:v>
      </x:c>
      <x:c r="E5" s="5" t="str">
        <x:v>Must FRs</x:v>
      </x:c>
      <x:c r="F5" s="5" t="str">
        <x:v>Covered Must</x:v>
      </x:c>
      <x:c r="G5" s="5" t="str">
        <x:v>Automated Must</x:v>
      </x:c>
      <x:c r="H5" s="5" t="str">
        <x:v>Verified Must</x:v>
      </x:c>
      <x:c r="I5" s="5" t="str">
        <x:v>Must automation %</x:v>
      </x:c>
      <x:c r="J5" s="5" t="str">
        <x:v>Must verified %</x:v>
      </x:c>
    </x:row>
    <x:row r="6" ht="25" customHeight="1">
      <x:c r="A6" s="1" t="str">
        <x:v>SOL-1</x:v>
      </x:c>
      <x:c r="B6" s="1" t="str">
        <x:v>CMP-1</x:v>
      </x:c>
      <x:c r="C6" s="1" t="n">
        <x:f>COUNTIFS('Stories'!C6:C30,B6)</x:f>
        <x:v>5</x:v>
      </x:c>
      <x:c r="D6" s="1" t="n">
        <x:f>COUNTIFS('Requirements'!B6:B30,B6)</x:f>
        <x:v>5</x:v>
      </x:c>
      <x:c r="E6" s="1" t="n">
        <x:f>COUNTIFS('Requirements'!B6:B30,B6,'Requirements'!D6:D30,"Must")</x:f>
        <x:v>4</x:v>
      </x:c>
      <x:c r="F6" s="1" t="n">
        <x:f>SUMPRODUCT(('Requirements'!B6:B30=B6)*('Requirements'!D6:D30="Must")*('Requirements'!K6:K30="Covered"))</x:f>
        <x:v>4</x:v>
      </x:c>
      <x:c r="G6" s="1" t="n">
        <x:f>SUMPRODUCT(('Requirements'!B6:B30=B6)*('Requirements'!D6:D30="Must")*('Requirements'!L6:L30="Automated"))</x:f>
        <x:v>4</x:v>
      </x:c>
      <x:c r="H6" s="1" t="n">
        <x:f>SUMPRODUCT(('Requirements'!B6:B30=B6)*('Requirements'!D6:D30="Must")*('Requirements'!M6:M30="Verified"))</x:f>
        <x:v>4</x:v>
      </x:c>
      <x:c r="I6" s="7" t="n">
        <x:f>IF(E6=0,"n.a.",G6/E6)</x:f>
        <x:v>1</x:v>
      </x:c>
      <x:c r="J6" s="7" t="n">
        <x:f>IF(E6=0,"n.a.",H6/E6)</x:f>
        <x:v>1</x:v>
      </x:c>
    </x:row>
    <x:row r="7" ht="25" customHeight="1">
      <x:c r="A7" s="1" t="str">
        <x:v>SOL-2</x:v>
      </x:c>
      <x:c r="B7" s="1" t="str">
        <x:v>CMP-2</x:v>
      </x:c>
      <x:c r="C7" s="1" t="n">
        <x:f>COUNTIFS('Stories'!C6:C30,B7)</x:f>
        <x:v>5</x:v>
      </x:c>
      <x:c r="D7" s="1" t="n">
        <x:f>COUNTIFS('Requirements'!B6:B30,B7)</x:f>
        <x:v>5</x:v>
      </x:c>
      <x:c r="E7" s="1" t="n">
        <x:f>COUNTIFS('Requirements'!B6:B30,B7,'Requirements'!D6:D30,"Must")</x:f>
        <x:v>4</x:v>
      </x:c>
      <x:c r="F7" s="1" t="n">
        <x:f>SUMPRODUCT(('Requirements'!B6:B30=B7)*('Requirements'!D6:D30="Must")*('Requirements'!K6:K30="Covered"))</x:f>
        <x:v>4</x:v>
      </x:c>
      <x:c r="G7" s="1" t="n">
        <x:f>SUMPRODUCT(('Requirements'!B6:B30=B7)*('Requirements'!D6:D30="Must")*('Requirements'!L6:L30="Automated"))</x:f>
        <x:v>4</x:v>
      </x:c>
      <x:c r="H7" s="1" t="n">
        <x:f>SUMPRODUCT(('Requirements'!B6:B30=B7)*('Requirements'!D6:D30="Must")*('Requirements'!M6:M30="Verified"))</x:f>
        <x:v>4</x:v>
      </x:c>
      <x:c r="I7" s="7" t="n">
        <x:f>IF(E7=0,"n.a.",G7/E7)</x:f>
        <x:v>1</x:v>
      </x:c>
      <x:c r="J7" s="7" t="n">
        <x:f>IF(E7=0,"n.a.",H7/E7)</x:f>
        <x:v>1</x:v>
      </x:c>
    </x:row>
    <x:row r="8" ht="25" customHeight="1">
      <x:c r="A8" s="1" t="str">
        <x:v>SOL-3</x:v>
      </x:c>
      <x:c r="B8" s="1" t="str">
        <x:v>CMP-3</x:v>
      </x:c>
      <x:c r="C8" s="1" t="n">
        <x:f>COUNTIFS('Stories'!C6:C30,B8)</x:f>
        <x:v>5</x:v>
      </x:c>
      <x:c r="D8" s="1" t="n">
        <x:f>COUNTIFS('Requirements'!B6:B30,B8)</x:f>
        <x:v>5</x:v>
      </x:c>
      <x:c r="E8" s="1" t="n">
        <x:f>COUNTIFS('Requirements'!B6:B30,B8,'Requirements'!D6:D30,"Must")</x:f>
        <x:v>4</x:v>
      </x:c>
      <x:c r="F8" s="1" t="n">
        <x:f>SUMPRODUCT(('Requirements'!B6:B30=B8)*('Requirements'!D6:D30="Must")*('Requirements'!K6:K30="Covered"))</x:f>
        <x:v>4</x:v>
      </x:c>
      <x:c r="G8" s="1" t="n">
        <x:f>SUMPRODUCT(('Requirements'!B6:B30=B8)*('Requirements'!D6:D30="Must")*('Requirements'!L6:L30="Automated"))</x:f>
        <x:v>4</x:v>
      </x:c>
      <x:c r="H8" s="1" t="n">
        <x:f>SUMPRODUCT(('Requirements'!B6:B30=B8)*('Requirements'!D6:D30="Must")*('Requirements'!M6:M30="Verified"))</x:f>
        <x:v>4</x:v>
      </x:c>
      <x:c r="I8" s="7" t="n">
        <x:f>IF(E8=0,"n.a.",G8/E8)</x:f>
        <x:v>1</x:v>
      </x:c>
      <x:c r="J8" s="7" t="n">
        <x:f>IF(E8=0,"n.a.",H8/E8)</x:f>
        <x:v>1</x:v>
      </x:c>
    </x:row>
    <x:row r="9" ht="25" customHeight="1">
      <x:c r="A9" s="1" t="str">
        <x:v>SOL-4</x:v>
      </x:c>
      <x:c r="B9" s="1" t="str">
        <x:v>CMP-4</x:v>
      </x:c>
      <x:c r="C9" s="1" t="n">
        <x:f>COUNTIFS('Stories'!C6:C30,B9)</x:f>
        <x:v>5</x:v>
      </x:c>
      <x:c r="D9" s="1" t="n">
        <x:f>COUNTIFS('Requirements'!B6:B30,B9)</x:f>
        <x:v>5</x:v>
      </x:c>
      <x:c r="E9" s="1" t="n">
        <x:f>COUNTIFS('Requirements'!B6:B30,B9,'Requirements'!D6:D30,"Must")</x:f>
        <x:v>4</x:v>
      </x:c>
      <x:c r="F9" s="1" t="n">
        <x:f>SUMPRODUCT(('Requirements'!B6:B30=B9)*('Requirements'!D6:D30="Must")*('Requirements'!K6:K30="Covered"))</x:f>
        <x:v>4</x:v>
      </x:c>
      <x:c r="G9" s="1" t="n">
        <x:f>SUMPRODUCT(('Requirements'!B6:B30=B9)*('Requirements'!D6:D30="Must")*('Requirements'!L6:L30="Automated"))</x:f>
        <x:v>3</x:v>
      </x:c>
      <x:c r="H9" s="1" t="n">
        <x:f>SUMPRODUCT(('Requirements'!B6:B30=B9)*('Requirements'!D6:D30="Must")*('Requirements'!M6:M30="Verified"))</x:f>
        <x:v>3</x:v>
      </x:c>
      <x:c r="I9" s="7" t="n">
        <x:f>IF(E9=0,"n.a.",G9/E9)</x:f>
        <x:v>0.75</x:v>
      </x:c>
      <x:c r="J9" s="7" t="n">
        <x:f>IF(E9=0,"n.a.",H9/E9)</x:f>
        <x:v>0.75</x:v>
      </x:c>
    </x:row>
    <x:row r="10" ht="25" customHeight="1">
      <x:c r="A10" s="1" t="str">
        <x:v>SOL-5</x:v>
      </x:c>
      <x:c r="B10" s="1" t="str">
        <x:v>CMP-5</x:v>
      </x:c>
      <x:c r="C10" s="1" t="n">
        <x:f>COUNTIFS('Stories'!C6:C30,B10)</x:f>
        <x:v>5</x:v>
      </x:c>
      <x:c r="D10" s="1" t="n">
        <x:f>COUNTIFS('Requirements'!B6:B30,B10)</x:f>
        <x:v>5</x:v>
      </x:c>
      <x:c r="E10" s="1" t="n">
        <x:f>COUNTIFS('Requirements'!B6:B30,B10,'Requirements'!D6:D30,"Must")</x:f>
        <x:v>4</x:v>
      </x:c>
      <x:c r="F10" s="1" t="n">
        <x:f>SUMPRODUCT(('Requirements'!B6:B30=B10)*('Requirements'!D6:D30="Must")*('Requirements'!K6:K30="Covered"))</x:f>
        <x:v>4</x:v>
      </x:c>
      <x:c r="G10" s="1" t="n">
        <x:f>SUMPRODUCT(('Requirements'!B6:B30=B10)*('Requirements'!D6:D30="Must")*('Requirements'!L6:L30="Automated"))</x:f>
        <x:v>2</x:v>
      </x:c>
      <x:c r="H10" s="1" t="n">
        <x:f>SUMPRODUCT(('Requirements'!B6:B30=B10)*('Requirements'!D6:D30="Must")*('Requirements'!M6:M30="Verified"))</x:f>
        <x:v>2</x:v>
      </x:c>
      <x:c r="I10" s="7" t="n">
        <x:f>IF(E10=0,"n.a.",G10/E10)</x:f>
        <x:v>0.5</x:v>
      </x:c>
      <x:c r="J10" s="7" t="n">
        <x:f>IF(E10=0,"n.a.",H10/E10)</x:f>
        <x:v>0.5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5" customHeight="1">
      <x:c r="A2" s="2" t="str">
        <x:v>ETS 2702 — Requirements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5" customHeight="1">
      <x:c r="A3" s="1" t="str">
        <x:v>One example FR per shared story. Covered / automated / verified require all 10 agreed tasks, not just one link.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2" customHeight="1">
      <x:c r="A5" s="5" t="str">
        <x:v>Requirement</x:v>
      </x:c>
      <x:c r="B5" s="5" t="str">
        <x:v>Component epic</x:v>
      </x:c>
      <x:c r="C5" s="5" t="str">
        <x:v>User story</x:v>
      </x:c>
      <x:c r="D5" s="5" t="str">
        <x:v>MoSCoW</x:v>
      </x:c>
      <x:c r="E5" s="5" t="str">
        <x:v>Expected tasks</x:v>
      </x:c>
      <x:c r="F5" s="5" t="str">
        <x:v>Actual tasks</x:v>
      </x:c>
      <x:c r="G5" s="5" t="str">
        <x:v>Tasks with tests</x:v>
      </x:c>
      <x:c r="H5" s="5" t="str">
        <x:v>Automated tasks</x:v>
      </x:c>
      <x:c r="I5" s="5" t="str">
        <x:v>Passed tasks</x:v>
      </x:c>
      <x:c r="J5" s="5" t="str">
        <x:v>Executed tasks</x:v>
      </x:c>
      <x:c r="K5" s="5" t="str">
        <x:v>Test coverage</x:v>
      </x:c>
      <x:c r="L5" s="5" t="str">
        <x:v>Automation</x:v>
      </x:c>
      <x:c r="M5" s="5" t="str">
        <x:v>Verification</x:v>
      </x:c>
    </x:row>
    <x:row r="6" ht="25" customHeight="1">
      <x:c r="A6" s="1" t="str">
        <x:v>FR-01</x:v>
      </x:c>
      <x:c r="B6" s="1" t="str">
        <x:v>CMP-1</x:v>
      </x:c>
      <x:c r="C6" s="1" t="str">
        <x:v>US-01</x:v>
      </x:c>
      <x:c r="D6" s="6" t="str">
        <x:v>Must</x:v>
      </x:c>
      <x:c r="E6" s="6" t="n">
        <x:v>10</x:v>
      </x:c>
      <x:c r="F6" s="1" t="n">
        <x:f>COUNTIFS('Tasks'!C6:C255,A6)</x:f>
        <x:v>10</x:v>
      </x:c>
      <x:c r="G6" s="1" t="n">
        <x:f>COUNTIFS('Tasks'!C6:C255,A6,'Tasks'!G6:G255,"Yes")</x:f>
        <x:v>10</x:v>
      </x:c>
      <x:c r="H6" s="1" t="n">
        <x:f>COUNTIFS('Tasks'!C6:C255,A6,'Tasks'!H6:H255,"Yes")</x:f>
        <x:v>10</x:v>
      </x:c>
      <x:c r="I6" s="1" t="n">
        <x:f>COUNTIFS('Tasks'!C6:C255,A6,'Tasks'!I6:I255,"Passed")</x:f>
        <x:v>10</x:v>
      </x:c>
      <x:c r="J6" s="1" t="n">
        <x:f>I6+COUNTIFS('Tasks'!C6:C255,A6,'Tasks'!I6:I255,"Failed")</x:f>
        <x:v>10</x:v>
      </x:c>
      <x:c r="K6" s="1" t="str">
        <x:f>IF(AND(F6=E6,G6=E6),"Covered","Gap")</x:f>
        <x:v>Covered</x:v>
      </x:c>
      <x:c r="L6" s="1" t="str">
        <x:f>IF(AND(K6="Covered",H6=E6),"Automated","Gap")</x:f>
        <x:v>Automated</x:v>
      </x:c>
      <x:c r="M6" s="1" t="str">
        <x:f>IF(AND(K6="Covered",I6=E6),"Verified","Pending")</x:f>
        <x:v>Verified</x:v>
      </x:c>
    </x:row>
    <x:row r="7" ht="25" customHeight="1">
      <x:c r="A7" s="1" t="str">
        <x:v>FR-02</x:v>
      </x:c>
      <x:c r="B7" s="1" t="str">
        <x:v>CMP-1</x:v>
      </x:c>
      <x:c r="C7" s="1" t="str">
        <x:v>US-02</x:v>
      </x:c>
      <x:c r="D7" s="6" t="str">
        <x:v>Must</x:v>
      </x:c>
      <x:c r="E7" s="6" t="n">
        <x:v>10</x:v>
      </x:c>
      <x:c r="F7" s="1" t="n">
        <x:f>COUNTIFS('Tasks'!C6:C255,A7)</x:f>
        <x:v>10</x:v>
      </x:c>
      <x:c r="G7" s="1" t="n">
        <x:f>COUNTIFS('Tasks'!C6:C255,A7,'Tasks'!G6:G255,"Yes")</x:f>
        <x:v>10</x:v>
      </x:c>
      <x:c r="H7" s="1" t="n">
        <x:f>COUNTIFS('Tasks'!C6:C255,A7,'Tasks'!H6:H255,"Yes")</x:f>
        <x:v>10</x:v>
      </x:c>
      <x:c r="I7" s="1" t="n">
        <x:f>COUNTIFS('Tasks'!C6:C255,A7,'Tasks'!I6:I255,"Passed")</x:f>
        <x:v>10</x:v>
      </x:c>
      <x:c r="J7" s="1" t="n">
        <x:f>I7+COUNTIFS('Tasks'!C6:C255,A7,'Tasks'!I6:I255,"Failed")</x:f>
        <x:v>10</x:v>
      </x:c>
      <x:c r="K7" s="1" t="str">
        <x:f>IF(AND(F7=E7,G7=E7),"Covered","Gap")</x:f>
        <x:v>Covered</x:v>
      </x:c>
      <x:c r="L7" s="1" t="str">
        <x:f>IF(AND(K7="Covered",H7=E7),"Automated","Gap")</x:f>
        <x:v>Automated</x:v>
      </x:c>
      <x:c r="M7" s="1" t="str">
        <x:f>IF(AND(K7="Covered",I7=E7),"Verified","Pending")</x:f>
        <x:v>Verified</x:v>
      </x:c>
    </x:row>
    <x:row r="8" ht="25" customHeight="1">
      <x:c r="A8" s="1" t="str">
        <x:v>FR-03</x:v>
      </x:c>
      <x:c r="B8" s="1" t="str">
        <x:v>CMP-1</x:v>
      </x:c>
      <x:c r="C8" s="1" t="str">
        <x:v>US-03</x:v>
      </x:c>
      <x:c r="D8" s="6" t="str">
        <x:v>Must</x:v>
      </x:c>
      <x:c r="E8" s="6" t="n">
        <x:v>10</x:v>
      </x:c>
      <x:c r="F8" s="1" t="n">
        <x:f>COUNTIFS('Tasks'!C6:C255,A8)</x:f>
        <x:v>10</x:v>
      </x:c>
      <x:c r="G8" s="1" t="n">
        <x:f>COUNTIFS('Tasks'!C6:C255,A8,'Tasks'!G6:G255,"Yes")</x:f>
        <x:v>10</x:v>
      </x:c>
      <x:c r="H8" s="1" t="n">
        <x:f>COUNTIFS('Tasks'!C6:C255,A8,'Tasks'!H6:H255,"Yes")</x:f>
        <x:v>10</x:v>
      </x:c>
      <x:c r="I8" s="1" t="n">
        <x:f>COUNTIFS('Tasks'!C6:C255,A8,'Tasks'!I6:I255,"Passed")</x:f>
        <x:v>10</x:v>
      </x:c>
      <x:c r="J8" s="1" t="n">
        <x:f>I8+COUNTIFS('Tasks'!C6:C255,A8,'Tasks'!I6:I255,"Failed")</x:f>
        <x:v>10</x:v>
      </x:c>
      <x:c r="K8" s="1" t="str">
        <x:f>IF(AND(F8=E8,G8=E8),"Covered","Gap")</x:f>
        <x:v>Covered</x:v>
      </x:c>
      <x:c r="L8" s="1" t="str">
        <x:f>IF(AND(K8="Covered",H8=E8),"Automated","Gap")</x:f>
        <x:v>Automated</x:v>
      </x:c>
      <x:c r="M8" s="1" t="str">
        <x:f>IF(AND(K8="Covered",I8=E8),"Verified","Pending")</x:f>
        <x:v>Verified</x:v>
      </x:c>
    </x:row>
    <x:row r="9" ht="25" customHeight="1">
      <x:c r="A9" s="1" t="str">
        <x:v>FR-04</x:v>
      </x:c>
      <x:c r="B9" s="1" t="str">
        <x:v>CMP-1</x:v>
      </x:c>
      <x:c r="C9" s="1" t="str">
        <x:v>US-04</x:v>
      </x:c>
      <x:c r="D9" s="6" t="str">
        <x:v>Must</x:v>
      </x:c>
      <x:c r="E9" s="6" t="n">
        <x:v>10</x:v>
      </x:c>
      <x:c r="F9" s="1" t="n">
        <x:f>COUNTIFS('Tasks'!C6:C255,A9)</x:f>
        <x:v>10</x:v>
      </x:c>
      <x:c r="G9" s="1" t="n">
        <x:f>COUNTIFS('Tasks'!C6:C255,A9,'Tasks'!G6:G255,"Yes")</x:f>
        <x:v>10</x:v>
      </x:c>
      <x:c r="H9" s="1" t="n">
        <x:f>COUNTIFS('Tasks'!C6:C255,A9,'Tasks'!H6:H255,"Yes")</x:f>
        <x:v>10</x:v>
      </x:c>
      <x:c r="I9" s="1" t="n">
        <x:f>COUNTIFS('Tasks'!C6:C255,A9,'Tasks'!I6:I255,"Passed")</x:f>
        <x:v>10</x:v>
      </x:c>
      <x:c r="J9" s="1" t="n">
        <x:f>I9+COUNTIFS('Tasks'!C6:C255,A9,'Tasks'!I6:I255,"Failed")</x:f>
        <x:v>10</x:v>
      </x:c>
      <x:c r="K9" s="1" t="str">
        <x:f>IF(AND(F9=E9,G9=E9),"Covered","Gap")</x:f>
        <x:v>Covered</x:v>
      </x:c>
      <x:c r="L9" s="1" t="str">
        <x:f>IF(AND(K9="Covered",H9=E9),"Automated","Gap")</x:f>
        <x:v>Automated</x:v>
      </x:c>
      <x:c r="M9" s="1" t="str">
        <x:f>IF(AND(K9="Covered",I9=E9),"Verified","Pending")</x:f>
        <x:v>Verified</x:v>
      </x:c>
    </x:row>
    <x:row r="10" ht="25" customHeight="1">
      <x:c r="A10" s="1" t="str">
        <x:v>FR-05</x:v>
      </x:c>
      <x:c r="B10" s="1" t="str">
        <x:v>CMP-1</x:v>
      </x:c>
      <x:c r="C10" s="1" t="str">
        <x:v>US-05</x:v>
      </x:c>
      <x:c r="D10" s="6" t="str">
        <x:v>Should</x:v>
      </x:c>
      <x:c r="E10" s="6" t="n">
        <x:v>10</x:v>
      </x:c>
      <x:c r="F10" s="1" t="n">
        <x:f>COUNTIFS('Tasks'!C6:C255,A10)</x:f>
        <x:v>10</x:v>
      </x:c>
      <x:c r="G10" s="1" t="n">
        <x:f>COUNTIFS('Tasks'!C6:C255,A10,'Tasks'!G6:G255,"Yes")</x:f>
        <x:v>10</x:v>
      </x:c>
      <x:c r="H10" s="1" t="n">
        <x:f>COUNTIFS('Tasks'!C6:C255,A10,'Tasks'!H6:H255,"Yes")</x:f>
        <x:v>0</x:v>
      </x:c>
      <x:c r="I10" s="1" t="n">
        <x:f>COUNTIFS('Tasks'!C6:C255,A10,'Tasks'!I6:I255,"Passed")</x:f>
        <x:v>10</x:v>
      </x:c>
      <x:c r="J10" s="1" t="n">
        <x:f>I10+COUNTIFS('Tasks'!C6:C255,A10,'Tasks'!I6:I255,"Failed")</x:f>
        <x:v>10</x:v>
      </x:c>
      <x:c r="K10" s="1" t="str">
        <x:f>IF(AND(F10=E10,G10=E10),"Covered","Gap")</x:f>
        <x:v>Covered</x:v>
      </x:c>
      <x:c r="L10" s="1" t="str">
        <x:f>IF(AND(K10="Covered",H10=E10),"Automated","Gap")</x:f>
        <x:v>Gap</x:v>
      </x:c>
      <x:c r="M10" s="1" t="str">
        <x:f>IF(AND(K10="Covered",I10=E10),"Verified","Pending")</x:f>
        <x:v>Verified</x:v>
      </x:c>
    </x:row>
    <x:row r="11" ht="25" customHeight="1">
      <x:c r="A11" s="1" t="str">
        <x:v>FR-06</x:v>
      </x:c>
      <x:c r="B11" s="1" t="str">
        <x:v>CMP-2</x:v>
      </x:c>
      <x:c r="C11" s="1" t="str">
        <x:v>US-06</x:v>
      </x:c>
      <x:c r="D11" s="6" t="str">
        <x:v>Must</x:v>
      </x:c>
      <x:c r="E11" s="6" t="n">
        <x:v>10</x:v>
      </x:c>
      <x:c r="F11" s="1" t="n">
        <x:f>COUNTIFS('Tasks'!C6:C255,A11)</x:f>
        <x:v>10</x:v>
      </x:c>
      <x:c r="G11" s="1" t="n">
        <x:f>COUNTIFS('Tasks'!C6:C255,A11,'Tasks'!G6:G255,"Yes")</x:f>
        <x:v>10</x:v>
      </x:c>
      <x:c r="H11" s="1" t="n">
        <x:f>COUNTIFS('Tasks'!C6:C255,A11,'Tasks'!H6:H255,"Yes")</x:f>
        <x:v>10</x:v>
      </x:c>
      <x:c r="I11" s="1" t="n">
        <x:f>COUNTIFS('Tasks'!C6:C255,A11,'Tasks'!I6:I255,"Passed")</x:f>
        <x:v>10</x:v>
      </x:c>
      <x:c r="J11" s="1" t="n">
        <x:f>I11+COUNTIFS('Tasks'!C6:C255,A11,'Tasks'!I6:I255,"Failed")</x:f>
        <x:v>10</x:v>
      </x:c>
      <x:c r="K11" s="1" t="str">
        <x:f>IF(AND(F11=E11,G11=E11),"Covered","Gap")</x:f>
        <x:v>Covered</x:v>
      </x:c>
      <x:c r="L11" s="1" t="str">
        <x:f>IF(AND(K11="Covered",H11=E11),"Automated","Gap")</x:f>
        <x:v>Automated</x:v>
      </x:c>
      <x:c r="M11" s="1" t="str">
        <x:f>IF(AND(K11="Covered",I11=E11),"Verified","Pending")</x:f>
        <x:v>Verified</x:v>
      </x:c>
    </x:row>
    <x:row r="12" ht="25" customHeight="1">
      <x:c r="A12" s="1" t="str">
        <x:v>FR-07</x:v>
      </x:c>
      <x:c r="B12" s="1" t="str">
        <x:v>CMP-2</x:v>
      </x:c>
      <x:c r="C12" s="1" t="str">
        <x:v>US-07</x:v>
      </x:c>
      <x:c r="D12" s="6" t="str">
        <x:v>Must</x:v>
      </x:c>
      <x:c r="E12" s="6" t="n">
        <x:v>10</x:v>
      </x:c>
      <x:c r="F12" s="1" t="n">
        <x:f>COUNTIFS('Tasks'!C6:C255,A12)</x:f>
        <x:v>10</x:v>
      </x:c>
      <x:c r="G12" s="1" t="n">
        <x:f>COUNTIFS('Tasks'!C6:C255,A12,'Tasks'!G6:G255,"Yes")</x:f>
        <x:v>10</x:v>
      </x:c>
      <x:c r="H12" s="1" t="n">
        <x:f>COUNTIFS('Tasks'!C6:C255,A12,'Tasks'!H6:H255,"Yes")</x:f>
        <x:v>10</x:v>
      </x:c>
      <x:c r="I12" s="1" t="n">
        <x:f>COUNTIFS('Tasks'!C6:C255,A12,'Tasks'!I6:I255,"Passed")</x:f>
        <x:v>10</x:v>
      </x:c>
      <x:c r="J12" s="1" t="n">
        <x:f>I12+COUNTIFS('Tasks'!C6:C255,A12,'Tasks'!I6:I255,"Failed")</x:f>
        <x:v>10</x:v>
      </x:c>
      <x:c r="K12" s="1" t="str">
        <x:f>IF(AND(F12=E12,G12=E12),"Covered","Gap")</x:f>
        <x:v>Covered</x:v>
      </x:c>
      <x:c r="L12" s="1" t="str">
        <x:f>IF(AND(K12="Covered",H12=E12),"Automated","Gap")</x:f>
        <x:v>Automated</x:v>
      </x:c>
      <x:c r="M12" s="1" t="str">
        <x:f>IF(AND(K12="Covered",I12=E12),"Verified","Pending")</x:f>
        <x:v>Verified</x:v>
      </x:c>
    </x:row>
    <x:row r="13" ht="25" customHeight="1">
      <x:c r="A13" s="1" t="str">
        <x:v>FR-08</x:v>
      </x:c>
      <x:c r="B13" s="1" t="str">
        <x:v>CMP-2</x:v>
      </x:c>
      <x:c r="C13" s="1" t="str">
        <x:v>US-08</x:v>
      </x:c>
      <x:c r="D13" s="6" t="str">
        <x:v>Must</x:v>
      </x:c>
      <x:c r="E13" s="6" t="n">
        <x:v>10</x:v>
      </x:c>
      <x:c r="F13" s="1" t="n">
        <x:f>COUNTIFS('Tasks'!C6:C255,A13)</x:f>
        <x:v>10</x:v>
      </x:c>
      <x:c r="G13" s="1" t="n">
        <x:f>COUNTIFS('Tasks'!C6:C255,A13,'Tasks'!G6:G255,"Yes")</x:f>
        <x:v>10</x:v>
      </x:c>
      <x:c r="H13" s="1" t="n">
        <x:f>COUNTIFS('Tasks'!C6:C255,A13,'Tasks'!H6:H255,"Yes")</x:f>
        <x:v>10</x:v>
      </x:c>
      <x:c r="I13" s="1" t="n">
        <x:f>COUNTIFS('Tasks'!C6:C255,A13,'Tasks'!I6:I255,"Passed")</x:f>
        <x:v>10</x:v>
      </x:c>
      <x:c r="J13" s="1" t="n">
        <x:f>I13+COUNTIFS('Tasks'!C6:C255,A13,'Tasks'!I6:I255,"Failed")</x:f>
        <x:v>10</x:v>
      </x:c>
      <x:c r="K13" s="1" t="str">
        <x:f>IF(AND(F13=E13,G13=E13),"Covered","Gap")</x:f>
        <x:v>Covered</x:v>
      </x:c>
      <x:c r="L13" s="1" t="str">
        <x:f>IF(AND(K13="Covered",H13=E13),"Automated","Gap")</x:f>
        <x:v>Automated</x:v>
      </x:c>
      <x:c r="M13" s="1" t="str">
        <x:f>IF(AND(K13="Covered",I13=E13),"Verified","Pending")</x:f>
        <x:v>Verified</x:v>
      </x:c>
    </x:row>
    <x:row r="14" ht="25" customHeight="1">
      <x:c r="A14" s="1" t="str">
        <x:v>FR-09</x:v>
      </x:c>
      <x:c r="B14" s="1" t="str">
        <x:v>CMP-2</x:v>
      </x:c>
      <x:c r="C14" s="1" t="str">
        <x:v>US-09</x:v>
      </x:c>
      <x:c r="D14" s="6" t="str">
        <x:v>Must</x:v>
      </x:c>
      <x:c r="E14" s="6" t="n">
        <x:v>10</x:v>
      </x:c>
      <x:c r="F14" s="1" t="n">
        <x:f>COUNTIFS('Tasks'!C6:C255,A14)</x:f>
        <x:v>10</x:v>
      </x:c>
      <x:c r="G14" s="1" t="n">
        <x:f>COUNTIFS('Tasks'!C6:C255,A14,'Tasks'!G6:G255,"Yes")</x:f>
        <x:v>10</x:v>
      </x:c>
      <x:c r="H14" s="1" t="n">
        <x:f>COUNTIFS('Tasks'!C6:C255,A14,'Tasks'!H6:H255,"Yes")</x:f>
        <x:v>10</x:v>
      </x:c>
      <x:c r="I14" s="1" t="n">
        <x:f>COUNTIFS('Tasks'!C6:C255,A14,'Tasks'!I6:I255,"Passed")</x:f>
        <x:v>10</x:v>
      </x:c>
      <x:c r="J14" s="1" t="n">
        <x:f>I14+COUNTIFS('Tasks'!C6:C255,A14,'Tasks'!I6:I255,"Failed")</x:f>
        <x:v>10</x:v>
      </x:c>
      <x:c r="K14" s="1" t="str">
        <x:f>IF(AND(F14=E14,G14=E14),"Covered","Gap")</x:f>
        <x:v>Covered</x:v>
      </x:c>
      <x:c r="L14" s="1" t="str">
        <x:f>IF(AND(K14="Covered",H14=E14),"Automated","Gap")</x:f>
        <x:v>Automated</x:v>
      </x:c>
      <x:c r="M14" s="1" t="str">
        <x:f>IF(AND(K14="Covered",I14=E14),"Verified","Pending")</x:f>
        <x:v>Verified</x:v>
      </x:c>
    </x:row>
    <x:row r="15" ht="25" customHeight="1">
      <x:c r="A15" s="1" t="str">
        <x:v>FR-10</x:v>
      </x:c>
      <x:c r="B15" s="1" t="str">
        <x:v>CMP-2</x:v>
      </x:c>
      <x:c r="C15" s="1" t="str">
        <x:v>US-10</x:v>
      </x:c>
      <x:c r="D15" s="6" t="str">
        <x:v>Should</x:v>
      </x:c>
      <x:c r="E15" s="6" t="n">
        <x:v>10</x:v>
      </x:c>
      <x:c r="F15" s="1" t="n">
        <x:f>COUNTIFS('Tasks'!C6:C255,A15)</x:f>
        <x:v>10</x:v>
      </x:c>
      <x:c r="G15" s="1" t="n">
        <x:f>COUNTIFS('Tasks'!C6:C255,A15,'Tasks'!G6:G255,"Yes")</x:f>
        <x:v>10</x:v>
      </x:c>
      <x:c r="H15" s="1" t="n">
        <x:f>COUNTIFS('Tasks'!C6:C255,A15,'Tasks'!H6:H255,"Yes")</x:f>
        <x:v>0</x:v>
      </x:c>
      <x:c r="I15" s="1" t="n">
        <x:f>COUNTIFS('Tasks'!C6:C255,A15,'Tasks'!I6:I255,"Passed")</x:f>
        <x:v>10</x:v>
      </x:c>
      <x:c r="J15" s="1" t="n">
        <x:f>I15+COUNTIFS('Tasks'!C6:C255,A15,'Tasks'!I6:I255,"Failed")</x:f>
        <x:v>10</x:v>
      </x:c>
      <x:c r="K15" s="1" t="str">
        <x:f>IF(AND(F15=E15,G15=E15),"Covered","Gap")</x:f>
        <x:v>Covered</x:v>
      </x:c>
      <x:c r="L15" s="1" t="str">
        <x:f>IF(AND(K15="Covered",H15=E15),"Automated","Gap")</x:f>
        <x:v>Gap</x:v>
      </x:c>
      <x:c r="M15" s="1" t="str">
        <x:f>IF(AND(K15="Covered",I15=E15),"Verified","Pending")</x:f>
        <x:v>Verified</x:v>
      </x:c>
    </x:row>
    <x:row r="16" ht="25" customHeight="1">
      <x:c r="A16" s="1" t="str">
        <x:v>FR-11</x:v>
      </x:c>
      <x:c r="B16" s="1" t="str">
        <x:v>CMP-3</x:v>
      </x:c>
      <x:c r="C16" s="1" t="str">
        <x:v>US-11</x:v>
      </x:c>
      <x:c r="D16" s="6" t="str">
        <x:v>Must</x:v>
      </x:c>
      <x:c r="E16" s="6" t="n">
        <x:v>10</x:v>
      </x:c>
      <x:c r="F16" s="1" t="n">
        <x:f>COUNTIFS('Tasks'!C6:C255,A16)</x:f>
        <x:v>10</x:v>
      </x:c>
      <x:c r="G16" s="1" t="n">
        <x:f>COUNTIFS('Tasks'!C6:C255,A16,'Tasks'!G6:G255,"Yes")</x:f>
        <x:v>10</x:v>
      </x:c>
      <x:c r="H16" s="1" t="n">
        <x:f>COUNTIFS('Tasks'!C6:C255,A16,'Tasks'!H6:H255,"Yes")</x:f>
        <x:v>10</x:v>
      </x:c>
      <x:c r="I16" s="1" t="n">
        <x:f>COUNTIFS('Tasks'!C6:C255,A16,'Tasks'!I6:I255,"Passed")</x:f>
        <x:v>10</x:v>
      </x:c>
      <x:c r="J16" s="1" t="n">
        <x:f>I16+COUNTIFS('Tasks'!C6:C255,A16,'Tasks'!I6:I255,"Failed")</x:f>
        <x:v>10</x:v>
      </x:c>
      <x:c r="K16" s="1" t="str">
        <x:f>IF(AND(F16=E16,G16=E16),"Covered","Gap")</x:f>
        <x:v>Covered</x:v>
      </x:c>
      <x:c r="L16" s="1" t="str">
        <x:f>IF(AND(K16="Covered",H16=E16),"Automated","Gap")</x:f>
        <x:v>Automated</x:v>
      </x:c>
      <x:c r="M16" s="1" t="str">
        <x:f>IF(AND(K16="Covered",I16=E16),"Verified","Pending")</x:f>
        <x:v>Verified</x:v>
      </x:c>
    </x:row>
    <x:row r="17" ht="25" customHeight="1">
      <x:c r="A17" s="1" t="str">
        <x:v>FR-12</x:v>
      </x:c>
      <x:c r="B17" s="1" t="str">
        <x:v>CMP-3</x:v>
      </x:c>
      <x:c r="C17" s="1" t="str">
        <x:v>US-12</x:v>
      </x:c>
      <x:c r="D17" s="6" t="str">
        <x:v>Must</x:v>
      </x:c>
      <x:c r="E17" s="6" t="n">
        <x:v>10</x:v>
      </x:c>
      <x:c r="F17" s="1" t="n">
        <x:f>COUNTIFS('Tasks'!C6:C255,A17)</x:f>
        <x:v>10</x:v>
      </x:c>
      <x:c r="G17" s="1" t="n">
        <x:f>COUNTIFS('Tasks'!C6:C255,A17,'Tasks'!G6:G255,"Yes")</x:f>
        <x:v>10</x:v>
      </x:c>
      <x:c r="H17" s="1" t="n">
        <x:f>COUNTIFS('Tasks'!C6:C255,A17,'Tasks'!H6:H255,"Yes")</x:f>
        <x:v>10</x:v>
      </x:c>
      <x:c r="I17" s="1" t="n">
        <x:f>COUNTIFS('Tasks'!C6:C255,A17,'Tasks'!I6:I255,"Passed")</x:f>
        <x:v>10</x:v>
      </x:c>
      <x:c r="J17" s="1" t="n">
        <x:f>I17+COUNTIFS('Tasks'!C6:C255,A17,'Tasks'!I6:I255,"Failed")</x:f>
        <x:v>10</x:v>
      </x:c>
      <x:c r="K17" s="1" t="str">
        <x:f>IF(AND(F17=E17,G17=E17),"Covered","Gap")</x:f>
        <x:v>Covered</x:v>
      </x:c>
      <x:c r="L17" s="1" t="str">
        <x:f>IF(AND(K17="Covered",H17=E17),"Automated","Gap")</x:f>
        <x:v>Automated</x:v>
      </x:c>
      <x:c r="M17" s="1" t="str">
        <x:f>IF(AND(K17="Covered",I17=E17),"Verified","Pending")</x:f>
        <x:v>Verified</x:v>
      </x:c>
    </x:row>
    <x:row r="18" ht="25" customHeight="1">
      <x:c r="A18" s="1" t="str">
        <x:v>FR-13</x:v>
      </x:c>
      <x:c r="B18" s="1" t="str">
        <x:v>CMP-3</x:v>
      </x:c>
      <x:c r="C18" s="1" t="str">
        <x:v>US-13</x:v>
      </x:c>
      <x:c r="D18" s="6" t="str">
        <x:v>Must</x:v>
      </x:c>
      <x:c r="E18" s="6" t="n">
        <x:v>10</x:v>
      </x:c>
      <x:c r="F18" s="1" t="n">
        <x:f>COUNTIFS('Tasks'!C6:C255,A18)</x:f>
        <x:v>10</x:v>
      </x:c>
      <x:c r="G18" s="1" t="n">
        <x:f>COUNTIFS('Tasks'!C6:C255,A18,'Tasks'!G6:G255,"Yes")</x:f>
        <x:v>10</x:v>
      </x:c>
      <x:c r="H18" s="1" t="n">
        <x:f>COUNTIFS('Tasks'!C6:C255,A18,'Tasks'!H6:H255,"Yes")</x:f>
        <x:v>10</x:v>
      </x:c>
      <x:c r="I18" s="1" t="n">
        <x:f>COUNTIFS('Tasks'!C6:C255,A18,'Tasks'!I6:I255,"Passed")</x:f>
        <x:v>10</x:v>
      </x:c>
      <x:c r="J18" s="1" t="n">
        <x:f>I18+COUNTIFS('Tasks'!C6:C255,A18,'Tasks'!I6:I255,"Failed")</x:f>
        <x:v>10</x:v>
      </x:c>
      <x:c r="K18" s="1" t="str">
        <x:f>IF(AND(F18=E18,G18=E18),"Covered","Gap")</x:f>
        <x:v>Covered</x:v>
      </x:c>
      <x:c r="L18" s="1" t="str">
        <x:f>IF(AND(K18="Covered",H18=E18),"Automated","Gap")</x:f>
        <x:v>Automated</x:v>
      </x:c>
      <x:c r="M18" s="1" t="str">
        <x:f>IF(AND(K18="Covered",I18=E18),"Verified","Pending")</x:f>
        <x:v>Verified</x:v>
      </x:c>
    </x:row>
    <x:row r="19" ht="25" customHeight="1">
      <x:c r="A19" s="1" t="str">
        <x:v>FR-14</x:v>
      </x:c>
      <x:c r="B19" s="1" t="str">
        <x:v>CMP-3</x:v>
      </x:c>
      <x:c r="C19" s="1" t="str">
        <x:v>US-14</x:v>
      </x:c>
      <x:c r="D19" s="6" t="str">
        <x:v>Must</x:v>
      </x:c>
      <x:c r="E19" s="6" t="n">
        <x:v>10</x:v>
      </x:c>
      <x:c r="F19" s="1" t="n">
        <x:f>COUNTIFS('Tasks'!C6:C255,A19)</x:f>
        <x:v>10</x:v>
      </x:c>
      <x:c r="G19" s="1" t="n">
        <x:f>COUNTIFS('Tasks'!C6:C255,A19,'Tasks'!G6:G255,"Yes")</x:f>
        <x:v>10</x:v>
      </x:c>
      <x:c r="H19" s="1" t="n">
        <x:f>COUNTIFS('Tasks'!C6:C255,A19,'Tasks'!H6:H255,"Yes")</x:f>
        <x:v>10</x:v>
      </x:c>
      <x:c r="I19" s="1" t="n">
        <x:f>COUNTIFS('Tasks'!C6:C255,A19,'Tasks'!I6:I255,"Passed")</x:f>
        <x:v>10</x:v>
      </x:c>
      <x:c r="J19" s="1" t="n">
        <x:f>I19+COUNTIFS('Tasks'!C6:C255,A19,'Tasks'!I6:I255,"Failed")</x:f>
        <x:v>10</x:v>
      </x:c>
      <x:c r="K19" s="1" t="str">
        <x:f>IF(AND(F19=E19,G19=E19),"Covered","Gap")</x:f>
        <x:v>Covered</x:v>
      </x:c>
      <x:c r="L19" s="1" t="str">
        <x:f>IF(AND(K19="Covered",H19=E19),"Automated","Gap")</x:f>
        <x:v>Automated</x:v>
      </x:c>
      <x:c r="M19" s="1" t="str">
        <x:f>IF(AND(K19="Covered",I19=E19),"Verified","Pending")</x:f>
        <x:v>Verified</x:v>
      </x:c>
    </x:row>
    <x:row r="20" ht="25" customHeight="1">
      <x:c r="A20" s="1" t="str">
        <x:v>FR-15</x:v>
      </x:c>
      <x:c r="B20" s="1" t="str">
        <x:v>CMP-3</x:v>
      </x:c>
      <x:c r="C20" s="1" t="str">
        <x:v>US-15</x:v>
      </x:c>
      <x:c r="D20" s="6" t="str">
        <x:v>Should</x:v>
      </x:c>
      <x:c r="E20" s="6" t="n">
        <x:v>10</x:v>
      </x:c>
      <x:c r="F20" s="1" t="n">
        <x:f>COUNTIFS('Tasks'!C6:C255,A20)</x:f>
        <x:v>10</x:v>
      </x:c>
      <x:c r="G20" s="1" t="n">
        <x:f>COUNTIFS('Tasks'!C6:C255,A20,'Tasks'!G6:G255,"Yes")</x:f>
        <x:v>10</x:v>
      </x:c>
      <x:c r="H20" s="1" t="n">
        <x:f>COUNTIFS('Tasks'!C6:C255,A20,'Tasks'!H6:H255,"Yes")</x:f>
        <x:v>0</x:v>
      </x:c>
      <x:c r="I20" s="1" t="n">
        <x:f>COUNTIFS('Tasks'!C6:C255,A20,'Tasks'!I6:I255,"Passed")</x:f>
        <x:v>10</x:v>
      </x:c>
      <x:c r="J20" s="1" t="n">
        <x:f>I20+COUNTIFS('Tasks'!C6:C255,A20,'Tasks'!I6:I255,"Failed")</x:f>
        <x:v>10</x:v>
      </x:c>
      <x:c r="K20" s="1" t="str">
        <x:f>IF(AND(F20=E20,G20=E20),"Covered","Gap")</x:f>
        <x:v>Covered</x:v>
      </x:c>
      <x:c r="L20" s="1" t="str">
        <x:f>IF(AND(K20="Covered",H20=E20),"Automated","Gap")</x:f>
        <x:v>Gap</x:v>
      </x:c>
      <x:c r="M20" s="1" t="str">
        <x:f>IF(AND(K20="Covered",I20=E20),"Verified","Pending")</x:f>
        <x:v>Verified</x:v>
      </x:c>
    </x:row>
    <x:row r="21" ht="25" customHeight="1">
      <x:c r="A21" s="1" t="str">
        <x:v>FR-16</x:v>
      </x:c>
      <x:c r="B21" s="1" t="str">
        <x:v>CMP-4</x:v>
      </x:c>
      <x:c r="C21" s="1" t="str">
        <x:v>US-16</x:v>
      </x:c>
      <x:c r="D21" s="6" t="str">
        <x:v>Must</x:v>
      </x:c>
      <x:c r="E21" s="6" t="n">
        <x:v>10</x:v>
      </x:c>
      <x:c r="F21" s="1" t="n">
        <x:f>COUNTIFS('Tasks'!C6:C255,A21)</x:f>
        <x:v>10</x:v>
      </x:c>
      <x:c r="G21" s="1" t="n">
        <x:f>COUNTIFS('Tasks'!C6:C255,A21,'Tasks'!G6:G255,"Yes")</x:f>
        <x:v>10</x:v>
      </x:c>
      <x:c r="H21" s="1" t="n">
        <x:f>COUNTIFS('Tasks'!C6:C255,A21,'Tasks'!H6:H255,"Yes")</x:f>
        <x:v>10</x:v>
      </x:c>
      <x:c r="I21" s="1" t="n">
        <x:f>COUNTIFS('Tasks'!C6:C255,A21,'Tasks'!I6:I255,"Passed")</x:f>
        <x:v>10</x:v>
      </x:c>
      <x:c r="J21" s="1" t="n">
        <x:f>I21+COUNTIFS('Tasks'!C6:C255,A21,'Tasks'!I6:I255,"Failed")</x:f>
        <x:v>10</x:v>
      </x:c>
      <x:c r="K21" s="1" t="str">
        <x:f>IF(AND(F21=E21,G21=E21),"Covered","Gap")</x:f>
        <x:v>Covered</x:v>
      </x:c>
      <x:c r="L21" s="1" t="str">
        <x:f>IF(AND(K21="Covered",H21=E21),"Automated","Gap")</x:f>
        <x:v>Automated</x:v>
      </x:c>
      <x:c r="M21" s="1" t="str">
        <x:f>IF(AND(K21="Covered",I21=E21),"Verified","Pending")</x:f>
        <x:v>Verified</x:v>
      </x:c>
    </x:row>
    <x:row r="22" ht="25" customHeight="1">
      <x:c r="A22" s="1" t="str">
        <x:v>FR-17</x:v>
      </x:c>
      <x:c r="B22" s="1" t="str">
        <x:v>CMP-4</x:v>
      </x:c>
      <x:c r="C22" s="1" t="str">
        <x:v>US-17</x:v>
      </x:c>
      <x:c r="D22" s="6" t="str">
        <x:v>Must</x:v>
      </x:c>
      <x:c r="E22" s="6" t="n">
        <x:v>10</x:v>
      </x:c>
      <x:c r="F22" s="1" t="n">
        <x:f>COUNTIFS('Tasks'!C6:C255,A22)</x:f>
        <x:v>10</x:v>
      </x:c>
      <x:c r="G22" s="1" t="n">
        <x:f>COUNTIFS('Tasks'!C6:C255,A22,'Tasks'!G6:G255,"Yes")</x:f>
        <x:v>10</x:v>
      </x:c>
      <x:c r="H22" s="1" t="n">
        <x:f>COUNTIFS('Tasks'!C6:C255,A22,'Tasks'!H6:H255,"Yes")</x:f>
        <x:v>10</x:v>
      </x:c>
      <x:c r="I22" s="1" t="n">
        <x:f>COUNTIFS('Tasks'!C6:C255,A22,'Tasks'!I6:I255,"Passed")</x:f>
        <x:v>10</x:v>
      </x:c>
      <x:c r="J22" s="1" t="n">
        <x:f>I22+COUNTIFS('Tasks'!C6:C255,A22,'Tasks'!I6:I255,"Failed")</x:f>
        <x:v>10</x:v>
      </x:c>
      <x:c r="K22" s="1" t="str">
        <x:f>IF(AND(F22=E22,G22=E22),"Covered","Gap")</x:f>
        <x:v>Covered</x:v>
      </x:c>
      <x:c r="L22" s="1" t="str">
        <x:f>IF(AND(K22="Covered",H22=E22),"Automated","Gap")</x:f>
        <x:v>Automated</x:v>
      </x:c>
      <x:c r="M22" s="1" t="str">
        <x:f>IF(AND(K22="Covered",I22=E22),"Verified","Pending")</x:f>
        <x:v>Verified</x:v>
      </x:c>
    </x:row>
    <x:row r="23" ht="25" customHeight="1">
      <x:c r="A23" s="1" t="str">
        <x:v>FR-18</x:v>
      </x:c>
      <x:c r="B23" s="1" t="str">
        <x:v>CMP-4</x:v>
      </x:c>
      <x:c r="C23" s="1" t="str">
        <x:v>US-18</x:v>
      </x:c>
      <x:c r="D23" s="6" t="str">
        <x:v>Must</x:v>
      </x:c>
      <x:c r="E23" s="6" t="n">
        <x:v>10</x:v>
      </x:c>
      <x:c r="F23" s="1" t="n">
        <x:f>COUNTIFS('Tasks'!C6:C255,A23)</x:f>
        <x:v>10</x:v>
      </x:c>
      <x:c r="G23" s="1" t="n">
        <x:f>COUNTIFS('Tasks'!C6:C255,A23,'Tasks'!G6:G255,"Yes")</x:f>
        <x:v>10</x:v>
      </x:c>
      <x:c r="H23" s="1" t="n">
        <x:f>COUNTIFS('Tasks'!C6:C255,A23,'Tasks'!H6:H255,"Yes")</x:f>
        <x:v>10</x:v>
      </x:c>
      <x:c r="I23" s="1" t="n">
        <x:f>COUNTIFS('Tasks'!C6:C255,A23,'Tasks'!I6:I255,"Passed")</x:f>
        <x:v>10</x:v>
      </x:c>
      <x:c r="J23" s="1" t="n">
        <x:f>I23+COUNTIFS('Tasks'!C6:C255,A23,'Tasks'!I6:I255,"Failed")</x:f>
        <x:v>10</x:v>
      </x:c>
      <x:c r="K23" s="1" t="str">
        <x:f>IF(AND(F23=E23,G23=E23),"Covered","Gap")</x:f>
        <x:v>Covered</x:v>
      </x:c>
      <x:c r="L23" s="1" t="str">
        <x:f>IF(AND(K23="Covered",H23=E23),"Automated","Gap")</x:f>
        <x:v>Automated</x:v>
      </x:c>
      <x:c r="M23" s="1" t="str">
        <x:f>IF(AND(K23="Covered",I23=E23),"Verified","Pending")</x:f>
        <x:v>Verified</x:v>
      </x:c>
    </x:row>
    <x:row r="24" ht="25" customHeight="1">
      <x:c r="A24" s="1" t="str">
        <x:v>FR-19</x:v>
      </x:c>
      <x:c r="B24" s="1" t="str">
        <x:v>CMP-4</x:v>
      </x:c>
      <x:c r="C24" s="1" t="str">
        <x:v>US-19</x:v>
      </x:c>
      <x:c r="D24" s="6" t="str">
        <x:v>Must</x:v>
      </x:c>
      <x:c r="E24" s="6" t="n">
        <x:v>10</x:v>
      </x:c>
      <x:c r="F24" s="1" t="n">
        <x:f>COUNTIFS('Tasks'!C6:C255,A24)</x:f>
        <x:v>10</x:v>
      </x:c>
      <x:c r="G24" s="1" t="n">
        <x:f>COUNTIFS('Tasks'!C6:C255,A24,'Tasks'!G6:G255,"Yes")</x:f>
        <x:v>10</x:v>
      </x:c>
      <x:c r="H24" s="1" t="n">
        <x:f>COUNTIFS('Tasks'!C6:C255,A24,'Tasks'!H6:H255,"Yes")</x:f>
        <x:v>5</x:v>
      </x:c>
      <x:c r="I24" s="1" t="n">
        <x:f>COUNTIFS('Tasks'!C6:C255,A24,'Tasks'!I6:I255,"Passed")</x:f>
        <x:v>7</x:v>
      </x:c>
      <x:c r="J24" s="1" t="n">
        <x:f>I24+COUNTIFS('Tasks'!C6:C255,A24,'Tasks'!I6:I255,"Failed")</x:f>
        <x:v>10</x:v>
      </x:c>
      <x:c r="K24" s="1" t="str">
        <x:f>IF(AND(F24=E24,G24=E24),"Covered","Gap")</x:f>
        <x:v>Covered</x:v>
      </x:c>
      <x:c r="L24" s="1" t="str">
        <x:f>IF(AND(K24="Covered",H24=E24),"Automated","Gap")</x:f>
        <x:v>Gap</x:v>
      </x:c>
      <x:c r="M24" s="1" t="str">
        <x:f>IF(AND(K24="Covered",I24=E24),"Verified","Pending")</x:f>
        <x:v>Pending</x:v>
      </x:c>
    </x:row>
    <x:row r="25" ht="25" customHeight="1">
      <x:c r="A25" s="1" t="str">
        <x:v>FR-20</x:v>
      </x:c>
      <x:c r="B25" s="1" t="str">
        <x:v>CMP-4</x:v>
      </x:c>
      <x:c r="C25" s="1" t="str">
        <x:v>US-20</x:v>
      </x:c>
      <x:c r="D25" s="6" t="str">
        <x:v>Should</x:v>
      </x:c>
      <x:c r="E25" s="6" t="n">
        <x:v>10</x:v>
      </x:c>
      <x:c r="F25" s="1" t="n">
        <x:f>COUNTIFS('Tasks'!C6:C255,A25)</x:f>
        <x:v>10</x:v>
      </x:c>
      <x:c r="G25" s="1" t="n">
        <x:f>COUNTIFS('Tasks'!C6:C255,A25,'Tasks'!G6:G255,"Yes")</x:f>
        <x:v>10</x:v>
      </x:c>
      <x:c r="H25" s="1" t="n">
        <x:f>COUNTIFS('Tasks'!C6:C255,A25,'Tasks'!H6:H255,"Yes")</x:f>
        <x:v>0</x:v>
      </x:c>
      <x:c r="I25" s="1" t="n">
        <x:f>COUNTIFS('Tasks'!C6:C255,A25,'Tasks'!I6:I255,"Passed")</x:f>
        <x:v>10</x:v>
      </x:c>
      <x:c r="J25" s="1" t="n">
        <x:f>I25+COUNTIFS('Tasks'!C6:C255,A25,'Tasks'!I6:I255,"Failed")</x:f>
        <x:v>10</x:v>
      </x:c>
      <x:c r="K25" s="1" t="str">
        <x:f>IF(AND(F25=E25,G25=E25),"Covered","Gap")</x:f>
        <x:v>Covered</x:v>
      </x:c>
      <x:c r="L25" s="1" t="str">
        <x:f>IF(AND(K25="Covered",H25=E25),"Automated","Gap")</x:f>
        <x:v>Gap</x:v>
      </x:c>
      <x:c r="M25" s="1" t="str">
        <x:f>IF(AND(K25="Covered",I25=E25),"Verified","Pending")</x:f>
        <x:v>Verified</x:v>
      </x:c>
    </x:row>
    <x:row r="26" ht="25" customHeight="1">
      <x:c r="A26" s="1" t="str">
        <x:v>FR-21</x:v>
      </x:c>
      <x:c r="B26" s="1" t="str">
        <x:v>CMP-5</x:v>
      </x:c>
      <x:c r="C26" s="1" t="str">
        <x:v>US-21</x:v>
      </x:c>
      <x:c r="D26" s="6" t="str">
        <x:v>Must</x:v>
      </x:c>
      <x:c r="E26" s="6" t="n">
        <x:v>10</x:v>
      </x:c>
      <x:c r="F26" s="1" t="n">
        <x:f>COUNTIFS('Tasks'!C6:C255,A26)</x:f>
        <x:v>10</x:v>
      </x:c>
      <x:c r="G26" s="1" t="n">
        <x:f>COUNTIFS('Tasks'!C6:C255,A26,'Tasks'!G6:G255,"Yes")</x:f>
        <x:v>10</x:v>
      </x:c>
      <x:c r="H26" s="1" t="n">
        <x:f>COUNTIFS('Tasks'!C6:C255,A26,'Tasks'!H6:H255,"Yes")</x:f>
        <x:v>10</x:v>
      </x:c>
      <x:c r="I26" s="1" t="n">
        <x:f>COUNTIFS('Tasks'!C6:C255,A26,'Tasks'!I6:I255,"Passed")</x:f>
        <x:v>10</x:v>
      </x:c>
      <x:c r="J26" s="1" t="n">
        <x:f>I26+COUNTIFS('Tasks'!C6:C255,A26,'Tasks'!I6:I255,"Failed")</x:f>
        <x:v>10</x:v>
      </x:c>
      <x:c r="K26" s="1" t="str">
        <x:f>IF(AND(F26=E26,G26=E26),"Covered","Gap")</x:f>
        <x:v>Covered</x:v>
      </x:c>
      <x:c r="L26" s="1" t="str">
        <x:f>IF(AND(K26="Covered",H26=E26),"Automated","Gap")</x:f>
        <x:v>Automated</x:v>
      </x:c>
      <x:c r="M26" s="1" t="str">
        <x:f>IF(AND(K26="Covered",I26=E26),"Verified","Pending")</x:f>
        <x:v>Verified</x:v>
      </x:c>
    </x:row>
    <x:row r="27" ht="25" customHeight="1">
      <x:c r="A27" s="1" t="str">
        <x:v>FR-22</x:v>
      </x:c>
      <x:c r="B27" s="1" t="str">
        <x:v>CMP-5</x:v>
      </x:c>
      <x:c r="C27" s="1" t="str">
        <x:v>US-22</x:v>
      </x:c>
      <x:c r="D27" s="6" t="str">
        <x:v>Must</x:v>
      </x:c>
      <x:c r="E27" s="6" t="n">
        <x:v>10</x:v>
      </x:c>
      <x:c r="F27" s="1" t="n">
        <x:f>COUNTIFS('Tasks'!C6:C255,A27)</x:f>
        <x:v>10</x:v>
      </x:c>
      <x:c r="G27" s="1" t="n">
        <x:f>COUNTIFS('Tasks'!C6:C255,A27,'Tasks'!G6:G255,"Yes")</x:f>
        <x:v>10</x:v>
      </x:c>
      <x:c r="H27" s="1" t="n">
        <x:f>COUNTIFS('Tasks'!C6:C255,A27,'Tasks'!H6:H255,"Yes")</x:f>
        <x:v>0</x:v>
      </x:c>
      <x:c r="I27" s="1" t="n">
        <x:f>COUNTIFS('Tasks'!C6:C255,A27,'Tasks'!I6:I255,"Passed")</x:f>
        <x:v>5</x:v>
      </x:c>
      <x:c r="J27" s="1" t="n">
        <x:f>I27+COUNTIFS('Tasks'!C6:C255,A27,'Tasks'!I6:I255,"Failed")</x:f>
        <x:v>5</x:v>
      </x:c>
      <x:c r="K27" s="1" t="str">
        <x:f>IF(AND(F27=E27,G27=E27),"Covered","Gap")</x:f>
        <x:v>Covered</x:v>
      </x:c>
      <x:c r="L27" s="1" t="str">
        <x:f>IF(AND(K27="Covered",H27=E27),"Automated","Gap")</x:f>
        <x:v>Gap</x:v>
      </x:c>
      <x:c r="M27" s="1" t="str">
        <x:f>IF(AND(K27="Covered",I27=E27),"Verified","Pending")</x:f>
        <x:v>Pending</x:v>
      </x:c>
    </x:row>
    <x:row r="28" ht="25" customHeight="1">
      <x:c r="A28" s="1" t="str">
        <x:v>FR-23</x:v>
      </x:c>
      <x:c r="B28" s="1" t="str">
        <x:v>CMP-5</x:v>
      </x:c>
      <x:c r="C28" s="1" t="str">
        <x:v>US-23</x:v>
      </x:c>
      <x:c r="D28" s="6" t="str">
        <x:v>Must</x:v>
      </x:c>
      <x:c r="E28" s="6" t="n">
        <x:v>10</x:v>
      </x:c>
      <x:c r="F28" s="1" t="n">
        <x:f>COUNTIFS('Tasks'!C6:C255,A28)</x:f>
        <x:v>10</x:v>
      </x:c>
      <x:c r="G28" s="1" t="n">
        <x:f>COUNTIFS('Tasks'!C6:C255,A28,'Tasks'!G6:G255,"Yes")</x:f>
        <x:v>10</x:v>
      </x:c>
      <x:c r="H28" s="1" t="n">
        <x:f>COUNTIFS('Tasks'!C6:C255,A28,'Tasks'!H6:H255,"Yes")</x:f>
        <x:v>0</x:v>
      </x:c>
      <x:c r="I28" s="1" t="n">
        <x:f>COUNTIFS('Tasks'!C6:C255,A28,'Tasks'!I6:I255,"Passed")</x:f>
        <x:v>0</x:v>
      </x:c>
      <x:c r="J28" s="1" t="n">
        <x:f>I28+COUNTIFS('Tasks'!C6:C255,A28,'Tasks'!I6:I255,"Failed")</x:f>
        <x:v>0</x:v>
      </x:c>
      <x:c r="K28" s="1" t="str">
        <x:f>IF(AND(F28=E28,G28=E28),"Covered","Gap")</x:f>
        <x:v>Covered</x:v>
      </x:c>
      <x:c r="L28" s="1" t="str">
        <x:f>IF(AND(K28="Covered",H28=E28),"Automated","Gap")</x:f>
        <x:v>Gap</x:v>
      </x:c>
      <x:c r="M28" s="1" t="str">
        <x:f>IF(AND(K28="Covered",I28=E28),"Verified","Pending")</x:f>
        <x:v>Pending</x:v>
      </x:c>
    </x:row>
    <x:row r="29" ht="25" customHeight="1">
      <x:c r="A29" s="1" t="str">
        <x:v>FR-24</x:v>
      </x:c>
      <x:c r="B29" s="1" t="str">
        <x:v>CMP-5</x:v>
      </x:c>
      <x:c r="C29" s="1" t="str">
        <x:v>US-24</x:v>
      </x:c>
      <x:c r="D29" s="6" t="str">
        <x:v>Must</x:v>
      </x:c>
      <x:c r="E29" s="6" t="n">
        <x:v>10</x:v>
      </x:c>
      <x:c r="F29" s="1" t="n">
        <x:f>COUNTIFS('Tasks'!C6:C255,A29)</x:f>
        <x:v>10</x:v>
      </x:c>
      <x:c r="G29" s="1" t="n">
        <x:f>COUNTIFS('Tasks'!C6:C255,A29,'Tasks'!G6:G255,"Yes")</x:f>
        <x:v>10</x:v>
      </x:c>
      <x:c r="H29" s="1" t="n">
        <x:f>COUNTIFS('Tasks'!C6:C255,A29,'Tasks'!H6:H255,"Yes")</x:f>
        <x:v>10</x:v>
      </x:c>
      <x:c r="I29" s="1" t="n">
        <x:f>COUNTIFS('Tasks'!C6:C255,A29,'Tasks'!I6:I255,"Passed")</x:f>
        <x:v>10</x:v>
      </x:c>
      <x:c r="J29" s="1" t="n">
        <x:f>I29+COUNTIFS('Tasks'!C6:C255,A29,'Tasks'!I6:I255,"Failed")</x:f>
        <x:v>10</x:v>
      </x:c>
      <x:c r="K29" s="1" t="str">
        <x:f>IF(AND(F29=E29,G29=E29),"Covered","Gap")</x:f>
        <x:v>Covered</x:v>
      </x:c>
      <x:c r="L29" s="1" t="str">
        <x:f>IF(AND(K29="Covered",H29=E29),"Automated","Gap")</x:f>
        <x:v>Automated</x:v>
      </x:c>
      <x:c r="M29" s="1" t="str">
        <x:f>IF(AND(K29="Covered",I29=E29),"Verified","Pending")</x:f>
        <x:v>Verified</x:v>
      </x:c>
    </x:row>
    <x:row r="30" ht="25" customHeight="1">
      <x:c r="A30" s="1" t="str">
        <x:v>FR-25</x:v>
      </x:c>
      <x:c r="B30" s="1" t="str">
        <x:v>CMP-5</x:v>
      </x:c>
      <x:c r="C30" s="1" t="str">
        <x:v>US-25</x:v>
      </x:c>
      <x:c r="D30" s="6" t="str">
        <x:v>Should</x:v>
      </x:c>
      <x:c r="E30" s="6" t="n">
        <x:v>10</x:v>
      </x:c>
      <x:c r="F30" s="1" t="n">
        <x:f>COUNTIFS('Tasks'!C6:C255,A30)</x:f>
        <x:v>10</x:v>
      </x:c>
      <x:c r="G30" s="1" t="n">
        <x:f>COUNTIFS('Tasks'!C6:C255,A30,'Tasks'!G6:G255,"Yes")</x:f>
        <x:v>5</x:v>
      </x:c>
      <x:c r="H30" s="1" t="n">
        <x:f>COUNTIFS('Tasks'!C6:C255,A30,'Tasks'!H6:H255,"Yes")</x:f>
        <x:v>0</x:v>
      </x:c>
      <x:c r="I30" s="1" t="n">
        <x:f>COUNTIFS('Tasks'!C6:C255,A30,'Tasks'!I6:I255,"Passed")</x:f>
        <x:v>5</x:v>
      </x:c>
      <x:c r="J30" s="1" t="n">
        <x:f>I30+COUNTIFS('Tasks'!C6:C255,A30,'Tasks'!I6:I255,"Failed")</x:f>
        <x:v>5</x:v>
      </x:c>
      <x:c r="K30" s="1" t="str">
        <x:f>IF(AND(F30=E30,G30=E30),"Covered","Gap")</x:f>
        <x:v>Gap</x:v>
      </x:c>
      <x:c r="L30" s="1" t="str">
        <x:f>IF(AND(K30="Covered",H30=E30),"Automated","Gap")</x:f>
        <x:v>Gap</x:v>
      </x:c>
      <x:c r="M30" s="1" t="str">
        <x:f>IF(AND(K30="Covered",I30=E30),"Verified","Pending")</x:f>
        <x:v>Pending</x:v>
      </x:c>
    </x:row>
  </x:sheetData>
  <x:conditionalFormatting sqref="K6:M30">
    <x:cfRule type="containsText" dxfId="0" priority="1" operator="containsText" text="Gap"/>
    <x:cfRule type="containsText" dxfId="1" priority="2" operator="containsText" text="Pending"/>
    <x:cfRule type="containsText" dxfId="2" priority="3" operator="containsText" text="Not met"/>
    <x:cfRule type="containsText" dxfId="3" priority="4" operator="containsText" text="Check inputs"/>
  </x:conditionalFormatting>
  <x:dataValidations count="1">
    <x:dataValidation type="list" sqref="D6:D30">
      <x:formula1>"Must,Should,Could,Won’t"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5" customHeight="1">
      <x:c r="A1" s="1"/>
      <x:c r="B1" s="1"/>
      <x:c r="C1" s="1"/>
      <x:c r="D1" s="1"/>
      <x:c r="E1" s="1"/>
      <x:c r="F1" s="1"/>
    </x:row>
    <x:row r="2" ht="25" customHeight="1">
      <x:c r="A2" s="2" t="str">
        <x:v>ETS 2702 — Stories</x:v>
      </x:c>
      <x:c r="B2" s="1"/>
      <x:c r="C2" s="1"/>
      <x:c r="D2" s="1"/>
      <x:c r="E2" s="1"/>
      <x:c r="F2" s="1"/>
    </x:row>
    <x:row r="3" ht="25" customHeight="1">
      <x:c r="A3" s="1" t="str">
        <x:v>25 unique story IDs appear at both solution and component levels. All story and requirement titles are examples.</x:v>
      </x:c>
      <x:c r="B3" s="1"/>
      <x:c r="C3" s="1"/>
      <x:c r="D3" s="1"/>
      <x:c r="E3" s="1"/>
      <x:c r="F3" s="1"/>
    </x:row>
    <x:row r="4" ht="25" customHeight="1">
      <x:c r="A4" s="1"/>
      <x:c r="B4" s="1"/>
      <x:c r="C4" s="1"/>
      <x:c r="D4" s="1"/>
      <x:c r="E4" s="1"/>
      <x:c r="F4" s="1"/>
    </x:row>
    <x:row r="5" ht="42" customHeight="1">
      <x:c r="A5" s="5" t="str">
        <x:v>User story</x:v>
      </x:c>
      <x:c r="B5" s="5" t="str">
        <x:v>Solution epic</x:v>
      </x:c>
      <x:c r="C5" s="5" t="str">
        <x:v>Component epic</x:v>
      </x:c>
      <x:c r="D5" s="5" t="str">
        <x:v>Requirement</x:v>
      </x:c>
      <x:c r="E5" s="5" t="str">
        <x:v>Expected tasks</x:v>
      </x:c>
      <x:c r="F5" s="5" t="str">
        <x:v>Verification</x:v>
      </x:c>
    </x:row>
    <x:row r="6" ht="25" customHeight="1">
      <x:c r="A6" s="1" t="str">
        <x:v>US-01</x:v>
      </x:c>
      <x:c r="B6" s="1" t="str">
        <x:v>SOL-1</x:v>
      </x:c>
      <x:c r="C6" s="1" t="str">
        <x:v>CMP-1</x:v>
      </x:c>
      <x:c r="D6" s="1" t="str">
        <x:v>FR-01</x:v>
      </x:c>
      <x:c r="E6" s="1" t="n">
        <x:v>10</x:v>
      </x:c>
      <x:c r="F6" s="1" t="str">
        <x:f>'Requirements'!M6</x:f>
        <x:v>Verified</x:v>
      </x:c>
    </x:row>
    <x:row r="7" ht="25" customHeight="1">
      <x:c r="A7" s="1" t="str">
        <x:v>US-02</x:v>
      </x:c>
      <x:c r="B7" s="1" t="str">
        <x:v>SOL-1</x:v>
      </x:c>
      <x:c r="C7" s="1" t="str">
        <x:v>CMP-1</x:v>
      </x:c>
      <x:c r="D7" s="1" t="str">
        <x:v>FR-02</x:v>
      </x:c>
      <x:c r="E7" s="1" t="n">
        <x:v>10</x:v>
      </x:c>
      <x:c r="F7" s="1" t="str">
        <x:f>'Requirements'!M7</x:f>
        <x:v>Verified</x:v>
      </x:c>
    </x:row>
    <x:row r="8" ht="25" customHeight="1">
      <x:c r="A8" s="1" t="str">
        <x:v>US-03</x:v>
      </x:c>
      <x:c r="B8" s="1" t="str">
        <x:v>SOL-1</x:v>
      </x:c>
      <x:c r="C8" s="1" t="str">
        <x:v>CMP-1</x:v>
      </x:c>
      <x:c r="D8" s="1" t="str">
        <x:v>FR-03</x:v>
      </x:c>
      <x:c r="E8" s="1" t="n">
        <x:v>10</x:v>
      </x:c>
      <x:c r="F8" s="1" t="str">
        <x:f>'Requirements'!M8</x:f>
        <x:v>Verified</x:v>
      </x:c>
    </x:row>
    <x:row r="9" ht="25" customHeight="1">
      <x:c r="A9" s="1" t="str">
        <x:v>US-04</x:v>
      </x:c>
      <x:c r="B9" s="1" t="str">
        <x:v>SOL-1</x:v>
      </x:c>
      <x:c r="C9" s="1" t="str">
        <x:v>CMP-1</x:v>
      </x:c>
      <x:c r="D9" s="1" t="str">
        <x:v>FR-04</x:v>
      </x:c>
      <x:c r="E9" s="1" t="n">
        <x:v>10</x:v>
      </x:c>
      <x:c r="F9" s="1" t="str">
        <x:f>'Requirements'!M9</x:f>
        <x:v>Verified</x:v>
      </x:c>
    </x:row>
    <x:row r="10" ht="25" customHeight="1">
      <x:c r="A10" s="1" t="str">
        <x:v>US-05</x:v>
      </x:c>
      <x:c r="B10" s="1" t="str">
        <x:v>SOL-1</x:v>
      </x:c>
      <x:c r="C10" s="1" t="str">
        <x:v>CMP-1</x:v>
      </x:c>
      <x:c r="D10" s="1" t="str">
        <x:v>FR-05</x:v>
      </x:c>
      <x:c r="E10" s="1" t="n">
        <x:v>10</x:v>
      </x:c>
      <x:c r="F10" s="1" t="str">
        <x:f>'Requirements'!M10</x:f>
        <x:v>Verified</x:v>
      </x:c>
    </x:row>
    <x:row r="11" ht="25" customHeight="1">
      <x:c r="A11" s="1" t="str">
        <x:v>US-06</x:v>
      </x:c>
      <x:c r="B11" s="1" t="str">
        <x:v>SOL-2</x:v>
      </x:c>
      <x:c r="C11" s="1" t="str">
        <x:v>CMP-2</x:v>
      </x:c>
      <x:c r="D11" s="1" t="str">
        <x:v>FR-06</x:v>
      </x:c>
      <x:c r="E11" s="1" t="n">
        <x:v>10</x:v>
      </x:c>
      <x:c r="F11" s="1" t="str">
        <x:f>'Requirements'!M11</x:f>
        <x:v>Verified</x:v>
      </x:c>
    </x:row>
    <x:row r="12" ht="25" customHeight="1">
      <x:c r="A12" s="1" t="str">
        <x:v>US-07</x:v>
      </x:c>
      <x:c r="B12" s="1" t="str">
        <x:v>SOL-2</x:v>
      </x:c>
      <x:c r="C12" s="1" t="str">
        <x:v>CMP-2</x:v>
      </x:c>
      <x:c r="D12" s="1" t="str">
        <x:v>FR-07</x:v>
      </x:c>
      <x:c r="E12" s="1" t="n">
        <x:v>10</x:v>
      </x:c>
      <x:c r="F12" s="1" t="str">
        <x:f>'Requirements'!M12</x:f>
        <x:v>Verified</x:v>
      </x:c>
    </x:row>
    <x:row r="13" ht="25" customHeight="1">
      <x:c r="A13" s="1" t="str">
        <x:v>US-08</x:v>
      </x:c>
      <x:c r="B13" s="1" t="str">
        <x:v>SOL-2</x:v>
      </x:c>
      <x:c r="C13" s="1" t="str">
        <x:v>CMP-2</x:v>
      </x:c>
      <x:c r="D13" s="1" t="str">
        <x:v>FR-08</x:v>
      </x:c>
      <x:c r="E13" s="1" t="n">
        <x:v>10</x:v>
      </x:c>
      <x:c r="F13" s="1" t="str">
        <x:f>'Requirements'!M13</x:f>
        <x:v>Verified</x:v>
      </x:c>
    </x:row>
    <x:row r="14" ht="25" customHeight="1">
      <x:c r="A14" s="1" t="str">
        <x:v>US-09</x:v>
      </x:c>
      <x:c r="B14" s="1" t="str">
        <x:v>SOL-2</x:v>
      </x:c>
      <x:c r="C14" s="1" t="str">
        <x:v>CMP-2</x:v>
      </x:c>
      <x:c r="D14" s="1" t="str">
        <x:v>FR-09</x:v>
      </x:c>
      <x:c r="E14" s="1" t="n">
        <x:v>10</x:v>
      </x:c>
      <x:c r="F14" s="1" t="str">
        <x:f>'Requirements'!M14</x:f>
        <x:v>Verified</x:v>
      </x:c>
    </x:row>
    <x:row r="15" ht="25" customHeight="1">
      <x:c r="A15" s="1" t="str">
        <x:v>US-10</x:v>
      </x:c>
      <x:c r="B15" s="1" t="str">
        <x:v>SOL-2</x:v>
      </x:c>
      <x:c r="C15" s="1" t="str">
        <x:v>CMP-2</x:v>
      </x:c>
      <x:c r="D15" s="1" t="str">
        <x:v>FR-10</x:v>
      </x:c>
      <x:c r="E15" s="1" t="n">
        <x:v>10</x:v>
      </x:c>
      <x:c r="F15" s="1" t="str">
        <x:f>'Requirements'!M15</x:f>
        <x:v>Verified</x:v>
      </x:c>
    </x:row>
    <x:row r="16" ht="25" customHeight="1">
      <x:c r="A16" s="1" t="str">
        <x:v>US-11</x:v>
      </x:c>
      <x:c r="B16" s="1" t="str">
        <x:v>SOL-3</x:v>
      </x:c>
      <x:c r="C16" s="1" t="str">
        <x:v>CMP-3</x:v>
      </x:c>
      <x:c r="D16" s="1" t="str">
        <x:v>FR-11</x:v>
      </x:c>
      <x:c r="E16" s="1" t="n">
        <x:v>10</x:v>
      </x:c>
      <x:c r="F16" s="1" t="str">
        <x:f>'Requirements'!M16</x:f>
        <x:v>Verified</x:v>
      </x:c>
    </x:row>
    <x:row r="17" ht="25" customHeight="1">
      <x:c r="A17" s="1" t="str">
        <x:v>US-12</x:v>
      </x:c>
      <x:c r="B17" s="1" t="str">
        <x:v>SOL-3</x:v>
      </x:c>
      <x:c r="C17" s="1" t="str">
        <x:v>CMP-3</x:v>
      </x:c>
      <x:c r="D17" s="1" t="str">
        <x:v>FR-12</x:v>
      </x:c>
      <x:c r="E17" s="1" t="n">
        <x:v>10</x:v>
      </x:c>
      <x:c r="F17" s="1" t="str">
        <x:f>'Requirements'!M17</x:f>
        <x:v>Verified</x:v>
      </x:c>
    </x:row>
    <x:row r="18" ht="25" customHeight="1">
      <x:c r="A18" s="1" t="str">
        <x:v>US-13</x:v>
      </x:c>
      <x:c r="B18" s="1" t="str">
        <x:v>SOL-3</x:v>
      </x:c>
      <x:c r="C18" s="1" t="str">
        <x:v>CMP-3</x:v>
      </x:c>
      <x:c r="D18" s="1" t="str">
        <x:v>FR-13</x:v>
      </x:c>
      <x:c r="E18" s="1" t="n">
        <x:v>10</x:v>
      </x:c>
      <x:c r="F18" s="1" t="str">
        <x:f>'Requirements'!M18</x:f>
        <x:v>Verified</x:v>
      </x:c>
    </x:row>
    <x:row r="19" ht="25" customHeight="1">
      <x:c r="A19" s="1" t="str">
        <x:v>US-14</x:v>
      </x:c>
      <x:c r="B19" s="1" t="str">
        <x:v>SOL-3</x:v>
      </x:c>
      <x:c r="C19" s="1" t="str">
        <x:v>CMP-3</x:v>
      </x:c>
      <x:c r="D19" s="1" t="str">
        <x:v>FR-14</x:v>
      </x:c>
      <x:c r="E19" s="1" t="n">
        <x:v>10</x:v>
      </x:c>
      <x:c r="F19" s="1" t="str">
        <x:f>'Requirements'!M19</x:f>
        <x:v>Verified</x:v>
      </x:c>
    </x:row>
    <x:row r="20" ht="25" customHeight="1">
      <x:c r="A20" s="1" t="str">
        <x:v>US-15</x:v>
      </x:c>
      <x:c r="B20" s="1" t="str">
        <x:v>SOL-3</x:v>
      </x:c>
      <x:c r="C20" s="1" t="str">
        <x:v>CMP-3</x:v>
      </x:c>
      <x:c r="D20" s="1" t="str">
        <x:v>FR-15</x:v>
      </x:c>
      <x:c r="E20" s="1" t="n">
        <x:v>10</x:v>
      </x:c>
      <x:c r="F20" s="1" t="str">
        <x:f>'Requirements'!M20</x:f>
        <x:v>Verified</x:v>
      </x:c>
    </x:row>
    <x:row r="21" ht="25" customHeight="1">
      <x:c r="A21" s="1" t="str">
        <x:v>US-16</x:v>
      </x:c>
      <x:c r="B21" s="1" t="str">
        <x:v>SOL-4</x:v>
      </x:c>
      <x:c r="C21" s="1" t="str">
        <x:v>CMP-4</x:v>
      </x:c>
      <x:c r="D21" s="1" t="str">
        <x:v>FR-16</x:v>
      </x:c>
      <x:c r="E21" s="1" t="n">
        <x:v>10</x:v>
      </x:c>
      <x:c r="F21" s="1" t="str">
        <x:f>'Requirements'!M21</x:f>
        <x:v>Verified</x:v>
      </x:c>
    </x:row>
    <x:row r="22" ht="25" customHeight="1">
      <x:c r="A22" s="1" t="str">
        <x:v>US-17</x:v>
      </x:c>
      <x:c r="B22" s="1" t="str">
        <x:v>SOL-4</x:v>
      </x:c>
      <x:c r="C22" s="1" t="str">
        <x:v>CMP-4</x:v>
      </x:c>
      <x:c r="D22" s="1" t="str">
        <x:v>FR-17</x:v>
      </x:c>
      <x:c r="E22" s="1" t="n">
        <x:v>10</x:v>
      </x:c>
      <x:c r="F22" s="1" t="str">
        <x:f>'Requirements'!M22</x:f>
        <x:v>Verified</x:v>
      </x:c>
    </x:row>
    <x:row r="23" ht="25" customHeight="1">
      <x:c r="A23" s="1" t="str">
        <x:v>US-18</x:v>
      </x:c>
      <x:c r="B23" s="1" t="str">
        <x:v>SOL-4</x:v>
      </x:c>
      <x:c r="C23" s="1" t="str">
        <x:v>CMP-4</x:v>
      </x:c>
      <x:c r="D23" s="1" t="str">
        <x:v>FR-18</x:v>
      </x:c>
      <x:c r="E23" s="1" t="n">
        <x:v>10</x:v>
      </x:c>
      <x:c r="F23" s="1" t="str">
        <x:f>'Requirements'!M23</x:f>
        <x:v>Verified</x:v>
      </x:c>
    </x:row>
    <x:row r="24" ht="25" customHeight="1">
      <x:c r="A24" s="1" t="str">
        <x:v>US-19</x:v>
      </x:c>
      <x:c r="B24" s="1" t="str">
        <x:v>SOL-4</x:v>
      </x:c>
      <x:c r="C24" s="1" t="str">
        <x:v>CMP-4</x:v>
      </x:c>
      <x:c r="D24" s="1" t="str">
        <x:v>FR-19</x:v>
      </x:c>
      <x:c r="E24" s="1" t="n">
        <x:v>10</x:v>
      </x:c>
      <x:c r="F24" s="1" t="str">
        <x:f>'Requirements'!M24</x:f>
        <x:v>Pending</x:v>
      </x:c>
    </x:row>
    <x:row r="25" ht="25" customHeight="1">
      <x:c r="A25" s="1" t="str">
        <x:v>US-20</x:v>
      </x:c>
      <x:c r="B25" s="1" t="str">
        <x:v>SOL-4</x:v>
      </x:c>
      <x:c r="C25" s="1" t="str">
        <x:v>CMP-4</x:v>
      </x:c>
      <x:c r="D25" s="1" t="str">
        <x:v>FR-20</x:v>
      </x:c>
      <x:c r="E25" s="1" t="n">
        <x:v>10</x:v>
      </x:c>
      <x:c r="F25" s="1" t="str">
        <x:f>'Requirements'!M25</x:f>
        <x:v>Verified</x:v>
      </x:c>
    </x:row>
    <x:row r="26" ht="25" customHeight="1">
      <x:c r="A26" s="1" t="str">
        <x:v>US-21</x:v>
      </x:c>
      <x:c r="B26" s="1" t="str">
        <x:v>SOL-5</x:v>
      </x:c>
      <x:c r="C26" s="1" t="str">
        <x:v>CMP-5</x:v>
      </x:c>
      <x:c r="D26" s="1" t="str">
        <x:v>FR-21</x:v>
      </x:c>
      <x:c r="E26" s="1" t="n">
        <x:v>10</x:v>
      </x:c>
      <x:c r="F26" s="1" t="str">
        <x:f>'Requirements'!M26</x:f>
        <x:v>Verified</x:v>
      </x:c>
    </x:row>
    <x:row r="27" ht="25" customHeight="1">
      <x:c r="A27" s="1" t="str">
        <x:v>US-22</x:v>
      </x:c>
      <x:c r="B27" s="1" t="str">
        <x:v>SOL-5</x:v>
      </x:c>
      <x:c r="C27" s="1" t="str">
        <x:v>CMP-5</x:v>
      </x:c>
      <x:c r="D27" s="1" t="str">
        <x:v>FR-22</x:v>
      </x:c>
      <x:c r="E27" s="1" t="n">
        <x:v>10</x:v>
      </x:c>
      <x:c r="F27" s="1" t="str">
        <x:f>'Requirements'!M27</x:f>
        <x:v>Pending</x:v>
      </x:c>
    </x:row>
    <x:row r="28" ht="25" customHeight="1">
      <x:c r="A28" s="1" t="str">
        <x:v>US-23</x:v>
      </x:c>
      <x:c r="B28" s="1" t="str">
        <x:v>SOL-5</x:v>
      </x:c>
      <x:c r="C28" s="1" t="str">
        <x:v>CMP-5</x:v>
      </x:c>
      <x:c r="D28" s="1" t="str">
        <x:v>FR-23</x:v>
      </x:c>
      <x:c r="E28" s="1" t="n">
        <x:v>10</x:v>
      </x:c>
      <x:c r="F28" s="1" t="str">
        <x:f>'Requirements'!M28</x:f>
        <x:v>Pending</x:v>
      </x:c>
    </x:row>
    <x:row r="29" ht="25" customHeight="1">
      <x:c r="A29" s="1" t="str">
        <x:v>US-24</x:v>
      </x:c>
      <x:c r="B29" s="1" t="str">
        <x:v>SOL-5</x:v>
      </x:c>
      <x:c r="C29" s="1" t="str">
        <x:v>CMP-5</x:v>
      </x:c>
      <x:c r="D29" s="1" t="str">
        <x:v>FR-24</x:v>
      </x:c>
      <x:c r="E29" s="1" t="n">
        <x:v>10</x:v>
      </x:c>
      <x:c r="F29" s="1" t="str">
        <x:f>'Requirements'!M29</x:f>
        <x:v>Verified</x:v>
      </x:c>
    </x:row>
    <x:row r="30" ht="25" customHeight="1">
      <x:c r="A30" s="1" t="str">
        <x:v>US-25</x:v>
      </x:c>
      <x:c r="B30" s="1" t="str">
        <x:v>SOL-5</x:v>
      </x:c>
      <x:c r="C30" s="1" t="str">
        <x:v>CMP-5</x:v>
      </x:c>
      <x:c r="D30" s="1" t="str">
        <x:v>FR-25</x:v>
      </x:c>
      <x:c r="E30" s="1" t="n">
        <x:v>10</x:v>
      </x:c>
      <x:c r="F30" s="1" t="str">
        <x:f>'Requirements'!M30</x:f>
        <x:v>Pending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9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5" customHeight="1">
      <x:c r="A2" s="2" t="str">
        <x:v>ETS 2702 — Tasks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5" customHeight="1">
      <x:c r="A3" s="1" t="str">
        <x:v>Amber inputs: test designed, automated and latest result. Automation Yes means implemented and usable in CI.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2" customHeight="1">
      <x:c r="A5" s="5" t="str">
        <x:v>Task ID</x:v>
      </x:c>
      <x:c r="B5" s="5" t="str">
        <x:v>User story</x:v>
      </x:c>
      <x:c r="C5" s="5" t="str">
        <x:v>Requirement</x:v>
      </x:c>
      <x:c r="D5" s="5" t="str">
        <x:v>Component epic</x:v>
      </x:c>
      <x:c r="E5" s="5" t="str">
        <x:v>Verification item</x:v>
      </x:c>
      <x:c r="F5" s="5" t="str">
        <x:v>MoSCoW</x:v>
      </x:c>
      <x:c r="G5" s="5" t="str">
        <x:v>Test designed</x:v>
      </x:c>
      <x:c r="H5" s="5" t="str">
        <x:v>Automated</x:v>
      </x:c>
      <x:c r="I5" s="5" t="str">
        <x:v>Latest result</x:v>
      </x:c>
      <x:c r="J5" s="5" t="str">
        <x:v>Input check</x:v>
      </x:c>
    </x:row>
    <x:row r="6" ht="25" customHeight="1">
      <x:c r="A6" s="1" t="str">
        <x:v>US-01-T1</x:v>
      </x:c>
      <x:c r="B6" s="1" t="str">
        <x:v>US-01</x:v>
      </x:c>
      <x:c r="C6" s="1" t="str">
        <x:v>FR-01</x:v>
      </x:c>
      <x:c r="D6" s="1" t="str">
        <x:v>CMP-1</x:v>
      </x:c>
      <x:c r="E6" s="1" t="str">
        <x:v>Registration check 1</x:v>
      </x:c>
      <x:c r="F6" s="1" t="str">
        <x:f>'Requirements'!D6</x:f>
        <x:v>Must</x:v>
      </x:c>
      <x:c r="G6" s="6" t="str">
        <x:v>Yes</x:v>
      </x:c>
      <x:c r="H6" s="6" t="str">
        <x:v>Yes</x:v>
      </x:c>
      <x:c r="I6" s="6" t="str">
        <x:v>Passed</x:v>
      </x:c>
      <x:c r="J6" s="1" t="str">
        <x:f>IF(AND(G6="No",OR(H6="Yes",I6="Passed",I6="Failed")),"Check inputs","OK")</x:f>
        <x:v>OK</x:v>
      </x:c>
    </x:row>
    <x:row r="7" ht="25" customHeight="1">
      <x:c r="A7" s="1" t="str">
        <x:v>US-01-T2</x:v>
      </x:c>
      <x:c r="B7" s="1" t="str">
        <x:v>US-01</x:v>
      </x:c>
      <x:c r="C7" s="1" t="str">
        <x:v>FR-01</x:v>
      </x:c>
      <x:c r="D7" s="1" t="str">
        <x:v>CMP-1</x:v>
      </x:c>
      <x:c r="E7" s="1" t="str">
        <x:v>Registration check 2</x:v>
      </x:c>
      <x:c r="F7" s="1" t="str">
        <x:f>'Requirements'!D6</x:f>
        <x:v>Must</x:v>
      </x:c>
      <x:c r="G7" s="6" t="str">
        <x:v>Yes</x:v>
      </x:c>
      <x:c r="H7" s="6" t="str">
        <x:v>Yes</x:v>
      </x:c>
      <x:c r="I7" s="6" t="str">
        <x:v>Passed</x:v>
      </x:c>
      <x:c r="J7" s="1" t="str">
        <x:f>IF(AND(G7="No",OR(H7="Yes",I7="Passed",I7="Failed")),"Check inputs","OK")</x:f>
        <x:v>OK</x:v>
      </x:c>
    </x:row>
    <x:row r="8" ht="25" customHeight="1">
      <x:c r="A8" s="1" t="str">
        <x:v>US-01-T3</x:v>
      </x:c>
      <x:c r="B8" s="1" t="str">
        <x:v>US-01</x:v>
      </x:c>
      <x:c r="C8" s="1" t="str">
        <x:v>FR-01</x:v>
      </x:c>
      <x:c r="D8" s="1" t="str">
        <x:v>CMP-1</x:v>
      </x:c>
      <x:c r="E8" s="1" t="str">
        <x:v>Registration check 3</x:v>
      </x:c>
      <x:c r="F8" s="1" t="str">
        <x:f>'Requirements'!D6</x:f>
        <x:v>Must</x:v>
      </x:c>
      <x:c r="G8" s="6" t="str">
        <x:v>Yes</x:v>
      </x:c>
      <x:c r="H8" s="6" t="str">
        <x:v>Yes</x:v>
      </x:c>
      <x:c r="I8" s="6" t="str">
        <x:v>Passed</x:v>
      </x:c>
      <x:c r="J8" s="1" t="str">
        <x:f>IF(AND(G8="No",OR(H8="Yes",I8="Passed",I8="Failed")),"Check inputs","OK")</x:f>
        <x:v>OK</x:v>
      </x:c>
    </x:row>
    <x:row r="9" ht="25" customHeight="1">
      <x:c r="A9" s="1" t="str">
        <x:v>US-01-T4</x:v>
      </x:c>
      <x:c r="B9" s="1" t="str">
        <x:v>US-01</x:v>
      </x:c>
      <x:c r="C9" s="1" t="str">
        <x:v>FR-01</x:v>
      </x:c>
      <x:c r="D9" s="1" t="str">
        <x:v>CMP-1</x:v>
      </x:c>
      <x:c r="E9" s="1" t="str">
        <x:v>Registration check 4</x:v>
      </x:c>
      <x:c r="F9" s="1" t="str">
        <x:f>'Requirements'!D6</x:f>
        <x:v>Must</x:v>
      </x:c>
      <x:c r="G9" s="6" t="str">
        <x:v>Yes</x:v>
      </x:c>
      <x:c r="H9" s="6" t="str">
        <x:v>Yes</x:v>
      </x:c>
      <x:c r="I9" s="6" t="str">
        <x:v>Passed</x:v>
      </x:c>
      <x:c r="J9" s="1" t="str">
        <x:f>IF(AND(G9="No",OR(H9="Yes",I9="Passed",I9="Failed")),"Check inputs","OK")</x:f>
        <x:v>OK</x:v>
      </x:c>
    </x:row>
    <x:row r="10" ht="25" customHeight="1">
      <x:c r="A10" s="1" t="str">
        <x:v>US-01-T5</x:v>
      </x:c>
      <x:c r="B10" s="1" t="str">
        <x:v>US-01</x:v>
      </x:c>
      <x:c r="C10" s="1" t="str">
        <x:v>FR-01</x:v>
      </x:c>
      <x:c r="D10" s="1" t="str">
        <x:v>CMP-1</x:v>
      </x:c>
      <x:c r="E10" s="1" t="str">
        <x:v>Registration check 5</x:v>
      </x:c>
      <x:c r="F10" s="1" t="str">
        <x:f>'Requirements'!D6</x:f>
        <x:v>Must</x:v>
      </x:c>
      <x:c r="G10" s="6" t="str">
        <x:v>Yes</x:v>
      </x:c>
      <x:c r="H10" s="6" t="str">
        <x:v>Yes</x:v>
      </x:c>
      <x:c r="I10" s="6" t="str">
        <x:v>Passed</x:v>
      </x:c>
      <x:c r="J10" s="1" t="str">
        <x:f>IF(AND(G10="No",OR(H10="Yes",I10="Passed",I10="Failed")),"Check inputs","OK")</x:f>
        <x:v>OK</x:v>
      </x:c>
    </x:row>
    <x:row r="11" ht="25" customHeight="1">
      <x:c r="A11" s="1" t="str">
        <x:v>US-01-T6</x:v>
      </x:c>
      <x:c r="B11" s="1" t="str">
        <x:v>US-01</x:v>
      </x:c>
      <x:c r="C11" s="1" t="str">
        <x:v>FR-01</x:v>
      </x:c>
      <x:c r="D11" s="1" t="str">
        <x:v>CMP-1</x:v>
      </x:c>
      <x:c r="E11" s="1" t="str">
        <x:v>Registration check 6</x:v>
      </x:c>
      <x:c r="F11" s="1" t="str">
        <x:f>'Requirements'!D6</x:f>
        <x:v>Must</x:v>
      </x:c>
      <x:c r="G11" s="6" t="str">
        <x:v>Yes</x:v>
      </x:c>
      <x:c r="H11" s="6" t="str">
        <x:v>Yes</x:v>
      </x:c>
      <x:c r="I11" s="6" t="str">
        <x:v>Passed</x:v>
      </x:c>
      <x:c r="J11" s="1" t="str">
        <x:f>IF(AND(G11="No",OR(H11="Yes",I11="Passed",I11="Failed")),"Check inputs","OK")</x:f>
        <x:v>OK</x:v>
      </x:c>
    </x:row>
    <x:row r="12" ht="25" customHeight="1">
      <x:c r="A12" s="1" t="str">
        <x:v>US-01-T7</x:v>
      </x:c>
      <x:c r="B12" s="1" t="str">
        <x:v>US-01</x:v>
      </x:c>
      <x:c r="C12" s="1" t="str">
        <x:v>FR-01</x:v>
      </x:c>
      <x:c r="D12" s="1" t="str">
        <x:v>CMP-1</x:v>
      </x:c>
      <x:c r="E12" s="1" t="str">
        <x:v>Registration check 7</x:v>
      </x:c>
      <x:c r="F12" s="1" t="str">
        <x:f>'Requirements'!D6</x:f>
        <x:v>Must</x:v>
      </x:c>
      <x:c r="G12" s="6" t="str">
        <x:v>Yes</x:v>
      </x:c>
      <x:c r="H12" s="6" t="str">
        <x:v>Yes</x:v>
      </x:c>
      <x:c r="I12" s="6" t="str">
        <x:v>Passed</x:v>
      </x:c>
      <x:c r="J12" s="1" t="str">
        <x:f>IF(AND(G12="No",OR(H12="Yes",I12="Passed",I12="Failed")),"Check inputs","OK")</x:f>
        <x:v>OK</x:v>
      </x:c>
    </x:row>
    <x:row r="13" ht="25" customHeight="1">
      <x:c r="A13" s="1" t="str">
        <x:v>US-01-T8</x:v>
      </x:c>
      <x:c r="B13" s="1" t="str">
        <x:v>US-01</x:v>
      </x:c>
      <x:c r="C13" s="1" t="str">
        <x:v>FR-01</x:v>
      </x:c>
      <x:c r="D13" s="1" t="str">
        <x:v>CMP-1</x:v>
      </x:c>
      <x:c r="E13" s="1" t="str">
        <x:v>Registration check 8</x:v>
      </x:c>
      <x:c r="F13" s="1" t="str">
        <x:f>'Requirements'!D6</x:f>
        <x:v>Must</x:v>
      </x:c>
      <x:c r="G13" s="6" t="str">
        <x:v>Yes</x:v>
      </x:c>
      <x:c r="H13" s="6" t="str">
        <x:v>Yes</x:v>
      </x:c>
      <x:c r="I13" s="6" t="str">
        <x:v>Passed</x:v>
      </x:c>
      <x:c r="J13" s="1" t="str">
        <x:f>IF(AND(G13="No",OR(H13="Yes",I13="Passed",I13="Failed")),"Check inputs","OK")</x:f>
        <x:v>OK</x:v>
      </x:c>
    </x:row>
    <x:row r="14" ht="25" customHeight="1">
      <x:c r="A14" s="1" t="str">
        <x:v>US-01-T9</x:v>
      </x:c>
      <x:c r="B14" s="1" t="str">
        <x:v>US-01</x:v>
      </x:c>
      <x:c r="C14" s="1" t="str">
        <x:v>FR-01</x:v>
      </x:c>
      <x:c r="D14" s="1" t="str">
        <x:v>CMP-1</x:v>
      </x:c>
      <x:c r="E14" s="1" t="str">
        <x:v>Registration check 9</x:v>
      </x:c>
      <x:c r="F14" s="1" t="str">
        <x:f>'Requirements'!D6</x:f>
        <x:v>Must</x:v>
      </x:c>
      <x:c r="G14" s="6" t="str">
        <x:v>Yes</x:v>
      </x:c>
      <x:c r="H14" s="6" t="str">
        <x:v>Yes</x:v>
      </x:c>
      <x:c r="I14" s="6" t="str">
        <x:v>Passed</x:v>
      </x:c>
      <x:c r="J14" s="1" t="str">
        <x:f>IF(AND(G14="No",OR(H14="Yes",I14="Passed",I14="Failed")),"Check inputs","OK")</x:f>
        <x:v>OK</x:v>
      </x:c>
    </x:row>
    <x:row r="15" ht="25" customHeight="1">
      <x:c r="A15" s="1" t="str">
        <x:v>US-01-T10</x:v>
      </x:c>
      <x:c r="B15" s="1" t="str">
        <x:v>US-01</x:v>
      </x:c>
      <x:c r="C15" s="1" t="str">
        <x:v>FR-01</x:v>
      </x:c>
      <x:c r="D15" s="1" t="str">
        <x:v>CMP-1</x:v>
      </x:c>
      <x:c r="E15" s="1" t="str">
        <x:v>Registration check 10</x:v>
      </x:c>
      <x:c r="F15" s="1" t="str">
        <x:f>'Requirements'!D6</x:f>
        <x:v>Must</x:v>
      </x:c>
      <x:c r="G15" s="6" t="str">
        <x:v>Yes</x:v>
      </x:c>
      <x:c r="H15" s="6" t="str">
        <x:v>Yes</x:v>
      </x:c>
      <x:c r="I15" s="6" t="str">
        <x:v>Passed</x:v>
      </x:c>
      <x:c r="J15" s="1" t="str">
        <x:f>IF(AND(G15="No",OR(H15="Yes",I15="Passed",I15="Failed")),"Check inputs","OK")</x:f>
        <x:v>OK</x:v>
      </x:c>
    </x:row>
    <x:row r="16" ht="25" customHeight="1">
      <x:c r="A16" s="1" t="str">
        <x:v>US-02-T1</x:v>
      </x:c>
      <x:c r="B16" s="1" t="str">
        <x:v>US-02</x:v>
      </x:c>
      <x:c r="C16" s="1" t="str">
        <x:v>FR-02</x:v>
      </x:c>
      <x:c r="D16" s="1" t="str">
        <x:v>CMP-1</x:v>
      </x:c>
      <x:c r="E16" s="1" t="str">
        <x:v>Registration check 1</x:v>
      </x:c>
      <x:c r="F16" s="1" t="str">
        <x:f>'Requirements'!D7</x:f>
        <x:v>Must</x:v>
      </x:c>
      <x:c r="G16" s="6" t="str">
        <x:v>Yes</x:v>
      </x:c>
      <x:c r="H16" s="6" t="str">
        <x:v>Yes</x:v>
      </x:c>
      <x:c r="I16" s="6" t="str">
        <x:v>Passed</x:v>
      </x:c>
      <x:c r="J16" s="1" t="str">
        <x:f>IF(AND(G16="No",OR(H16="Yes",I16="Passed",I16="Failed")),"Check inputs","OK")</x:f>
        <x:v>OK</x:v>
      </x:c>
    </x:row>
    <x:row r="17" ht="25" customHeight="1">
      <x:c r="A17" s="1" t="str">
        <x:v>US-02-T2</x:v>
      </x:c>
      <x:c r="B17" s="1" t="str">
        <x:v>US-02</x:v>
      </x:c>
      <x:c r="C17" s="1" t="str">
        <x:v>FR-02</x:v>
      </x:c>
      <x:c r="D17" s="1" t="str">
        <x:v>CMP-1</x:v>
      </x:c>
      <x:c r="E17" s="1" t="str">
        <x:v>Registration check 2</x:v>
      </x:c>
      <x:c r="F17" s="1" t="str">
        <x:f>'Requirements'!D7</x:f>
        <x:v>Must</x:v>
      </x:c>
      <x:c r="G17" s="6" t="str">
        <x:v>Yes</x:v>
      </x:c>
      <x:c r="H17" s="6" t="str">
        <x:v>Yes</x:v>
      </x:c>
      <x:c r="I17" s="6" t="str">
        <x:v>Passed</x:v>
      </x:c>
      <x:c r="J17" s="1" t="str">
        <x:f>IF(AND(G17="No",OR(H17="Yes",I17="Passed",I17="Failed")),"Check inputs","OK")</x:f>
        <x:v>OK</x:v>
      </x:c>
    </x:row>
    <x:row r="18" ht="25" customHeight="1">
      <x:c r="A18" s="1" t="str">
        <x:v>US-02-T3</x:v>
      </x:c>
      <x:c r="B18" s="1" t="str">
        <x:v>US-02</x:v>
      </x:c>
      <x:c r="C18" s="1" t="str">
        <x:v>FR-02</x:v>
      </x:c>
      <x:c r="D18" s="1" t="str">
        <x:v>CMP-1</x:v>
      </x:c>
      <x:c r="E18" s="1" t="str">
        <x:v>Registration check 3</x:v>
      </x:c>
      <x:c r="F18" s="1" t="str">
        <x:f>'Requirements'!D7</x:f>
        <x:v>Must</x:v>
      </x:c>
      <x:c r="G18" s="6" t="str">
        <x:v>Yes</x:v>
      </x:c>
      <x:c r="H18" s="6" t="str">
        <x:v>Yes</x:v>
      </x:c>
      <x:c r="I18" s="6" t="str">
        <x:v>Passed</x:v>
      </x:c>
      <x:c r="J18" s="1" t="str">
        <x:f>IF(AND(G18="No",OR(H18="Yes",I18="Passed",I18="Failed")),"Check inputs","OK")</x:f>
        <x:v>OK</x:v>
      </x:c>
    </x:row>
    <x:row r="19" ht="25" customHeight="1">
      <x:c r="A19" s="1" t="str">
        <x:v>US-02-T4</x:v>
      </x:c>
      <x:c r="B19" s="1" t="str">
        <x:v>US-02</x:v>
      </x:c>
      <x:c r="C19" s="1" t="str">
        <x:v>FR-02</x:v>
      </x:c>
      <x:c r="D19" s="1" t="str">
        <x:v>CMP-1</x:v>
      </x:c>
      <x:c r="E19" s="1" t="str">
        <x:v>Registration check 4</x:v>
      </x:c>
      <x:c r="F19" s="1" t="str">
        <x:f>'Requirements'!D7</x:f>
        <x:v>Must</x:v>
      </x:c>
      <x:c r="G19" s="6" t="str">
        <x:v>Yes</x:v>
      </x:c>
      <x:c r="H19" s="6" t="str">
        <x:v>Yes</x:v>
      </x:c>
      <x:c r="I19" s="6" t="str">
        <x:v>Passed</x:v>
      </x:c>
      <x:c r="J19" s="1" t="str">
        <x:f>IF(AND(G19="No",OR(H19="Yes",I19="Passed",I19="Failed")),"Check inputs","OK")</x:f>
        <x:v>OK</x:v>
      </x:c>
    </x:row>
    <x:row r="20" ht="25" customHeight="1">
      <x:c r="A20" s="1" t="str">
        <x:v>US-02-T5</x:v>
      </x:c>
      <x:c r="B20" s="1" t="str">
        <x:v>US-02</x:v>
      </x:c>
      <x:c r="C20" s="1" t="str">
        <x:v>FR-02</x:v>
      </x:c>
      <x:c r="D20" s="1" t="str">
        <x:v>CMP-1</x:v>
      </x:c>
      <x:c r="E20" s="1" t="str">
        <x:v>Registration check 5</x:v>
      </x:c>
      <x:c r="F20" s="1" t="str">
        <x:f>'Requirements'!D7</x:f>
        <x:v>Must</x:v>
      </x:c>
      <x:c r="G20" s="6" t="str">
        <x:v>Yes</x:v>
      </x:c>
      <x:c r="H20" s="6" t="str">
        <x:v>Yes</x:v>
      </x:c>
      <x:c r="I20" s="6" t="str">
        <x:v>Passed</x:v>
      </x:c>
      <x:c r="J20" s="1" t="str">
        <x:f>IF(AND(G20="No",OR(H20="Yes",I20="Passed",I20="Failed")),"Check inputs","OK")</x:f>
        <x:v>OK</x:v>
      </x:c>
    </x:row>
    <x:row r="21" ht="25" customHeight="1">
      <x:c r="A21" s="1" t="str">
        <x:v>US-02-T6</x:v>
      </x:c>
      <x:c r="B21" s="1" t="str">
        <x:v>US-02</x:v>
      </x:c>
      <x:c r="C21" s="1" t="str">
        <x:v>FR-02</x:v>
      </x:c>
      <x:c r="D21" s="1" t="str">
        <x:v>CMP-1</x:v>
      </x:c>
      <x:c r="E21" s="1" t="str">
        <x:v>Registration check 6</x:v>
      </x:c>
      <x:c r="F21" s="1" t="str">
        <x:f>'Requirements'!D7</x:f>
        <x:v>Must</x:v>
      </x:c>
      <x:c r="G21" s="6" t="str">
        <x:v>Yes</x:v>
      </x:c>
      <x:c r="H21" s="6" t="str">
        <x:v>Yes</x:v>
      </x:c>
      <x:c r="I21" s="6" t="str">
        <x:v>Passed</x:v>
      </x:c>
      <x:c r="J21" s="1" t="str">
        <x:f>IF(AND(G21="No",OR(H21="Yes",I21="Passed",I21="Failed")),"Check inputs","OK")</x:f>
        <x:v>OK</x:v>
      </x:c>
    </x:row>
    <x:row r="22" ht="25" customHeight="1">
      <x:c r="A22" s="1" t="str">
        <x:v>US-02-T7</x:v>
      </x:c>
      <x:c r="B22" s="1" t="str">
        <x:v>US-02</x:v>
      </x:c>
      <x:c r="C22" s="1" t="str">
        <x:v>FR-02</x:v>
      </x:c>
      <x:c r="D22" s="1" t="str">
        <x:v>CMP-1</x:v>
      </x:c>
      <x:c r="E22" s="1" t="str">
        <x:v>Registration check 7</x:v>
      </x:c>
      <x:c r="F22" s="1" t="str">
        <x:f>'Requirements'!D7</x:f>
        <x:v>Must</x:v>
      </x:c>
      <x:c r="G22" s="6" t="str">
        <x:v>Yes</x:v>
      </x:c>
      <x:c r="H22" s="6" t="str">
        <x:v>Yes</x:v>
      </x:c>
      <x:c r="I22" s="6" t="str">
        <x:v>Passed</x:v>
      </x:c>
      <x:c r="J22" s="1" t="str">
        <x:f>IF(AND(G22="No",OR(H22="Yes",I22="Passed",I22="Failed")),"Check inputs","OK")</x:f>
        <x:v>OK</x:v>
      </x:c>
    </x:row>
    <x:row r="23" ht="25" customHeight="1">
      <x:c r="A23" s="1" t="str">
        <x:v>US-02-T8</x:v>
      </x:c>
      <x:c r="B23" s="1" t="str">
        <x:v>US-02</x:v>
      </x:c>
      <x:c r="C23" s="1" t="str">
        <x:v>FR-02</x:v>
      </x:c>
      <x:c r="D23" s="1" t="str">
        <x:v>CMP-1</x:v>
      </x:c>
      <x:c r="E23" s="1" t="str">
        <x:v>Registration check 8</x:v>
      </x:c>
      <x:c r="F23" s="1" t="str">
        <x:f>'Requirements'!D7</x:f>
        <x:v>Must</x:v>
      </x:c>
      <x:c r="G23" s="6" t="str">
        <x:v>Yes</x:v>
      </x:c>
      <x:c r="H23" s="6" t="str">
        <x:v>Yes</x:v>
      </x:c>
      <x:c r="I23" s="6" t="str">
        <x:v>Passed</x:v>
      </x:c>
      <x:c r="J23" s="1" t="str">
        <x:f>IF(AND(G23="No",OR(H23="Yes",I23="Passed",I23="Failed")),"Check inputs","OK")</x:f>
        <x:v>OK</x:v>
      </x:c>
    </x:row>
    <x:row r="24" ht="25" customHeight="1">
      <x:c r="A24" s="1" t="str">
        <x:v>US-02-T9</x:v>
      </x:c>
      <x:c r="B24" s="1" t="str">
        <x:v>US-02</x:v>
      </x:c>
      <x:c r="C24" s="1" t="str">
        <x:v>FR-02</x:v>
      </x:c>
      <x:c r="D24" s="1" t="str">
        <x:v>CMP-1</x:v>
      </x:c>
      <x:c r="E24" s="1" t="str">
        <x:v>Registration check 9</x:v>
      </x:c>
      <x:c r="F24" s="1" t="str">
        <x:f>'Requirements'!D7</x:f>
        <x:v>Must</x:v>
      </x:c>
      <x:c r="G24" s="6" t="str">
        <x:v>Yes</x:v>
      </x:c>
      <x:c r="H24" s="6" t="str">
        <x:v>Yes</x:v>
      </x:c>
      <x:c r="I24" s="6" t="str">
        <x:v>Passed</x:v>
      </x:c>
      <x:c r="J24" s="1" t="str">
        <x:f>IF(AND(G24="No",OR(H24="Yes",I24="Passed",I24="Failed")),"Check inputs","OK")</x:f>
        <x:v>OK</x:v>
      </x:c>
    </x:row>
    <x:row r="25" ht="25" customHeight="1">
      <x:c r="A25" s="1" t="str">
        <x:v>US-02-T10</x:v>
      </x:c>
      <x:c r="B25" s="1" t="str">
        <x:v>US-02</x:v>
      </x:c>
      <x:c r="C25" s="1" t="str">
        <x:v>FR-02</x:v>
      </x:c>
      <x:c r="D25" s="1" t="str">
        <x:v>CMP-1</x:v>
      </x:c>
      <x:c r="E25" s="1" t="str">
        <x:v>Registration check 10</x:v>
      </x:c>
      <x:c r="F25" s="1" t="str">
        <x:f>'Requirements'!D7</x:f>
        <x:v>Must</x:v>
      </x:c>
      <x:c r="G25" s="6" t="str">
        <x:v>Yes</x:v>
      </x:c>
      <x:c r="H25" s="6" t="str">
        <x:v>Yes</x:v>
      </x:c>
      <x:c r="I25" s="6" t="str">
        <x:v>Passed</x:v>
      </x:c>
      <x:c r="J25" s="1" t="str">
        <x:f>IF(AND(G25="No",OR(H25="Yes",I25="Passed",I25="Failed")),"Check inputs","OK")</x:f>
        <x:v>OK</x:v>
      </x:c>
    </x:row>
    <x:row r="26" ht="25" customHeight="1">
      <x:c r="A26" s="1" t="str">
        <x:v>US-03-T1</x:v>
      </x:c>
      <x:c r="B26" s="1" t="str">
        <x:v>US-03</x:v>
      </x:c>
      <x:c r="C26" s="1" t="str">
        <x:v>FR-03</x:v>
      </x:c>
      <x:c r="D26" s="1" t="str">
        <x:v>CMP-1</x:v>
      </x:c>
      <x:c r="E26" s="1" t="str">
        <x:v>Registration check 1</x:v>
      </x:c>
      <x:c r="F26" s="1" t="str">
        <x:f>'Requirements'!D8</x:f>
        <x:v>Must</x:v>
      </x:c>
      <x:c r="G26" s="6" t="str">
        <x:v>Yes</x:v>
      </x:c>
      <x:c r="H26" s="6" t="str">
        <x:v>Yes</x:v>
      </x:c>
      <x:c r="I26" s="6" t="str">
        <x:v>Passed</x:v>
      </x:c>
      <x:c r="J26" s="1" t="str">
        <x:f>IF(AND(G26="No",OR(H26="Yes",I26="Passed",I26="Failed")),"Check inputs","OK")</x:f>
        <x:v>OK</x:v>
      </x:c>
    </x:row>
    <x:row r="27" ht="25" customHeight="1">
      <x:c r="A27" s="1" t="str">
        <x:v>US-03-T2</x:v>
      </x:c>
      <x:c r="B27" s="1" t="str">
        <x:v>US-03</x:v>
      </x:c>
      <x:c r="C27" s="1" t="str">
        <x:v>FR-03</x:v>
      </x:c>
      <x:c r="D27" s="1" t="str">
        <x:v>CMP-1</x:v>
      </x:c>
      <x:c r="E27" s="1" t="str">
        <x:v>Registration check 2</x:v>
      </x:c>
      <x:c r="F27" s="1" t="str">
        <x:f>'Requirements'!D8</x:f>
        <x:v>Must</x:v>
      </x:c>
      <x:c r="G27" s="6" t="str">
        <x:v>Yes</x:v>
      </x:c>
      <x:c r="H27" s="6" t="str">
        <x:v>Yes</x:v>
      </x:c>
      <x:c r="I27" s="6" t="str">
        <x:v>Passed</x:v>
      </x:c>
      <x:c r="J27" s="1" t="str">
        <x:f>IF(AND(G27="No",OR(H27="Yes",I27="Passed",I27="Failed")),"Check inputs","OK")</x:f>
        <x:v>OK</x:v>
      </x:c>
    </x:row>
    <x:row r="28" ht="25" customHeight="1">
      <x:c r="A28" s="1" t="str">
        <x:v>US-03-T3</x:v>
      </x:c>
      <x:c r="B28" s="1" t="str">
        <x:v>US-03</x:v>
      </x:c>
      <x:c r="C28" s="1" t="str">
        <x:v>FR-03</x:v>
      </x:c>
      <x:c r="D28" s="1" t="str">
        <x:v>CMP-1</x:v>
      </x:c>
      <x:c r="E28" s="1" t="str">
        <x:v>Registration check 3</x:v>
      </x:c>
      <x:c r="F28" s="1" t="str">
        <x:f>'Requirements'!D8</x:f>
        <x:v>Must</x:v>
      </x:c>
      <x:c r="G28" s="6" t="str">
        <x:v>Yes</x:v>
      </x:c>
      <x:c r="H28" s="6" t="str">
        <x:v>Yes</x:v>
      </x:c>
      <x:c r="I28" s="6" t="str">
        <x:v>Passed</x:v>
      </x:c>
      <x:c r="J28" s="1" t="str">
        <x:f>IF(AND(G28="No",OR(H28="Yes",I28="Passed",I28="Failed")),"Check inputs","OK")</x:f>
        <x:v>OK</x:v>
      </x:c>
    </x:row>
    <x:row r="29" ht="25" customHeight="1">
      <x:c r="A29" s="1" t="str">
        <x:v>US-03-T4</x:v>
      </x:c>
      <x:c r="B29" s="1" t="str">
        <x:v>US-03</x:v>
      </x:c>
      <x:c r="C29" s="1" t="str">
        <x:v>FR-03</x:v>
      </x:c>
      <x:c r="D29" s="1" t="str">
        <x:v>CMP-1</x:v>
      </x:c>
      <x:c r="E29" s="1" t="str">
        <x:v>Registration check 4</x:v>
      </x:c>
      <x:c r="F29" s="1" t="str">
        <x:f>'Requirements'!D8</x:f>
        <x:v>Must</x:v>
      </x:c>
      <x:c r="G29" s="6" t="str">
        <x:v>Yes</x:v>
      </x:c>
      <x:c r="H29" s="6" t="str">
        <x:v>Yes</x:v>
      </x:c>
      <x:c r="I29" s="6" t="str">
        <x:v>Passed</x:v>
      </x:c>
      <x:c r="J29" s="1" t="str">
        <x:f>IF(AND(G29="No",OR(H29="Yes",I29="Passed",I29="Failed")),"Check inputs","OK")</x:f>
        <x:v>OK</x:v>
      </x:c>
    </x:row>
    <x:row r="30" ht="25" customHeight="1">
      <x:c r="A30" s="1" t="str">
        <x:v>US-03-T5</x:v>
      </x:c>
      <x:c r="B30" s="1" t="str">
        <x:v>US-03</x:v>
      </x:c>
      <x:c r="C30" s="1" t="str">
        <x:v>FR-03</x:v>
      </x:c>
      <x:c r="D30" s="1" t="str">
        <x:v>CMP-1</x:v>
      </x:c>
      <x:c r="E30" s="1" t="str">
        <x:v>Registration check 5</x:v>
      </x:c>
      <x:c r="F30" s="1" t="str">
        <x:f>'Requirements'!D8</x:f>
        <x:v>Must</x:v>
      </x:c>
      <x:c r="G30" s="6" t="str">
        <x:v>Yes</x:v>
      </x:c>
      <x:c r="H30" s="6" t="str">
        <x:v>Yes</x:v>
      </x:c>
      <x:c r="I30" s="6" t="str">
        <x:v>Passed</x:v>
      </x:c>
      <x:c r="J30" s="1" t="str">
        <x:f>IF(AND(G30="No",OR(H30="Yes",I30="Passed",I30="Failed")),"Check inputs","OK")</x:f>
        <x:v>OK</x:v>
      </x:c>
    </x:row>
    <x:row r="31" ht="25" customHeight="1">
      <x:c r="A31" s="1" t="str">
        <x:v>US-03-T6</x:v>
      </x:c>
      <x:c r="B31" s="1" t="str">
        <x:v>US-03</x:v>
      </x:c>
      <x:c r="C31" s="1" t="str">
        <x:v>FR-03</x:v>
      </x:c>
      <x:c r="D31" s="1" t="str">
        <x:v>CMP-1</x:v>
      </x:c>
      <x:c r="E31" s="1" t="str">
        <x:v>Registration check 6</x:v>
      </x:c>
      <x:c r="F31" s="1" t="str">
        <x:f>'Requirements'!D8</x:f>
        <x:v>Must</x:v>
      </x:c>
      <x:c r="G31" s="6" t="str">
        <x:v>Yes</x:v>
      </x:c>
      <x:c r="H31" s="6" t="str">
        <x:v>Yes</x:v>
      </x:c>
      <x:c r="I31" s="6" t="str">
        <x:v>Passed</x:v>
      </x:c>
      <x:c r="J31" s="1" t="str">
        <x:f>IF(AND(G31="No",OR(H31="Yes",I31="Passed",I31="Failed")),"Check inputs","OK")</x:f>
        <x:v>OK</x:v>
      </x:c>
    </x:row>
    <x:row r="32" ht="25" customHeight="1">
      <x:c r="A32" s="1" t="str">
        <x:v>US-03-T7</x:v>
      </x:c>
      <x:c r="B32" s="1" t="str">
        <x:v>US-03</x:v>
      </x:c>
      <x:c r="C32" s="1" t="str">
        <x:v>FR-03</x:v>
      </x:c>
      <x:c r="D32" s="1" t="str">
        <x:v>CMP-1</x:v>
      </x:c>
      <x:c r="E32" s="1" t="str">
        <x:v>Registration check 7</x:v>
      </x:c>
      <x:c r="F32" s="1" t="str">
        <x:f>'Requirements'!D8</x:f>
        <x:v>Must</x:v>
      </x:c>
      <x:c r="G32" s="6" t="str">
        <x:v>Yes</x:v>
      </x:c>
      <x:c r="H32" s="6" t="str">
        <x:v>Yes</x:v>
      </x:c>
      <x:c r="I32" s="6" t="str">
        <x:v>Passed</x:v>
      </x:c>
      <x:c r="J32" s="1" t="str">
        <x:f>IF(AND(G32="No",OR(H32="Yes",I32="Passed",I32="Failed")),"Check inputs","OK")</x:f>
        <x:v>OK</x:v>
      </x:c>
    </x:row>
    <x:row r="33" ht="25" customHeight="1">
      <x:c r="A33" s="1" t="str">
        <x:v>US-03-T8</x:v>
      </x:c>
      <x:c r="B33" s="1" t="str">
        <x:v>US-03</x:v>
      </x:c>
      <x:c r="C33" s="1" t="str">
        <x:v>FR-03</x:v>
      </x:c>
      <x:c r="D33" s="1" t="str">
        <x:v>CMP-1</x:v>
      </x:c>
      <x:c r="E33" s="1" t="str">
        <x:v>Registration check 8</x:v>
      </x:c>
      <x:c r="F33" s="1" t="str">
        <x:f>'Requirements'!D8</x:f>
        <x:v>Must</x:v>
      </x:c>
      <x:c r="G33" s="6" t="str">
        <x:v>Yes</x:v>
      </x:c>
      <x:c r="H33" s="6" t="str">
        <x:v>Yes</x:v>
      </x:c>
      <x:c r="I33" s="6" t="str">
        <x:v>Passed</x:v>
      </x:c>
      <x:c r="J33" s="1" t="str">
        <x:f>IF(AND(G33="No",OR(H33="Yes",I33="Passed",I33="Failed")),"Check inputs","OK")</x:f>
        <x:v>OK</x:v>
      </x:c>
    </x:row>
    <x:row r="34" ht="25" customHeight="1">
      <x:c r="A34" s="1" t="str">
        <x:v>US-03-T9</x:v>
      </x:c>
      <x:c r="B34" s="1" t="str">
        <x:v>US-03</x:v>
      </x:c>
      <x:c r="C34" s="1" t="str">
        <x:v>FR-03</x:v>
      </x:c>
      <x:c r="D34" s="1" t="str">
        <x:v>CMP-1</x:v>
      </x:c>
      <x:c r="E34" s="1" t="str">
        <x:v>Registration check 9</x:v>
      </x:c>
      <x:c r="F34" s="1" t="str">
        <x:f>'Requirements'!D8</x:f>
        <x:v>Must</x:v>
      </x:c>
      <x:c r="G34" s="6" t="str">
        <x:v>Yes</x:v>
      </x:c>
      <x:c r="H34" s="6" t="str">
        <x:v>Yes</x:v>
      </x:c>
      <x:c r="I34" s="6" t="str">
        <x:v>Passed</x:v>
      </x:c>
      <x:c r="J34" s="1" t="str">
        <x:f>IF(AND(G34="No",OR(H34="Yes",I34="Passed",I34="Failed")),"Check inputs","OK")</x:f>
        <x:v>OK</x:v>
      </x:c>
    </x:row>
    <x:row r="35" ht="25" customHeight="1">
      <x:c r="A35" s="1" t="str">
        <x:v>US-03-T10</x:v>
      </x:c>
      <x:c r="B35" s="1" t="str">
        <x:v>US-03</x:v>
      </x:c>
      <x:c r="C35" s="1" t="str">
        <x:v>FR-03</x:v>
      </x:c>
      <x:c r="D35" s="1" t="str">
        <x:v>CMP-1</x:v>
      </x:c>
      <x:c r="E35" s="1" t="str">
        <x:v>Registration check 10</x:v>
      </x:c>
      <x:c r="F35" s="1" t="str">
        <x:f>'Requirements'!D8</x:f>
        <x:v>Must</x:v>
      </x:c>
      <x:c r="G35" s="6" t="str">
        <x:v>Yes</x:v>
      </x:c>
      <x:c r="H35" s="6" t="str">
        <x:v>Yes</x:v>
      </x:c>
      <x:c r="I35" s="6" t="str">
        <x:v>Passed</x:v>
      </x:c>
      <x:c r="J35" s="1" t="str">
        <x:f>IF(AND(G35="No",OR(H35="Yes",I35="Passed",I35="Failed")),"Check inputs","OK")</x:f>
        <x:v>OK</x:v>
      </x:c>
    </x:row>
    <x:row r="36" ht="25" customHeight="1">
      <x:c r="A36" s="1" t="str">
        <x:v>US-04-T1</x:v>
      </x:c>
      <x:c r="B36" s="1" t="str">
        <x:v>US-04</x:v>
      </x:c>
      <x:c r="C36" s="1" t="str">
        <x:v>FR-04</x:v>
      </x:c>
      <x:c r="D36" s="1" t="str">
        <x:v>CMP-1</x:v>
      </x:c>
      <x:c r="E36" s="1" t="str">
        <x:v>Registration check 1</x:v>
      </x:c>
      <x:c r="F36" s="1" t="str">
        <x:f>'Requirements'!D9</x:f>
        <x:v>Must</x:v>
      </x:c>
      <x:c r="G36" s="6" t="str">
        <x:v>Yes</x:v>
      </x:c>
      <x:c r="H36" s="6" t="str">
        <x:v>Yes</x:v>
      </x:c>
      <x:c r="I36" s="6" t="str">
        <x:v>Passed</x:v>
      </x:c>
      <x:c r="J36" s="1" t="str">
        <x:f>IF(AND(G36="No",OR(H36="Yes",I36="Passed",I36="Failed")),"Check inputs","OK")</x:f>
        <x:v>OK</x:v>
      </x:c>
    </x:row>
    <x:row r="37" ht="25" customHeight="1">
      <x:c r="A37" s="1" t="str">
        <x:v>US-04-T2</x:v>
      </x:c>
      <x:c r="B37" s="1" t="str">
        <x:v>US-04</x:v>
      </x:c>
      <x:c r="C37" s="1" t="str">
        <x:v>FR-04</x:v>
      </x:c>
      <x:c r="D37" s="1" t="str">
        <x:v>CMP-1</x:v>
      </x:c>
      <x:c r="E37" s="1" t="str">
        <x:v>Registration check 2</x:v>
      </x:c>
      <x:c r="F37" s="1" t="str">
        <x:f>'Requirements'!D9</x:f>
        <x:v>Must</x:v>
      </x:c>
      <x:c r="G37" s="6" t="str">
        <x:v>Yes</x:v>
      </x:c>
      <x:c r="H37" s="6" t="str">
        <x:v>Yes</x:v>
      </x:c>
      <x:c r="I37" s="6" t="str">
        <x:v>Passed</x:v>
      </x:c>
      <x:c r="J37" s="1" t="str">
        <x:f>IF(AND(G37="No",OR(H37="Yes",I37="Passed",I37="Failed")),"Check inputs","OK")</x:f>
        <x:v>OK</x:v>
      </x:c>
    </x:row>
    <x:row r="38" ht="25" customHeight="1">
      <x:c r="A38" s="1" t="str">
        <x:v>US-04-T3</x:v>
      </x:c>
      <x:c r="B38" s="1" t="str">
        <x:v>US-04</x:v>
      </x:c>
      <x:c r="C38" s="1" t="str">
        <x:v>FR-04</x:v>
      </x:c>
      <x:c r="D38" s="1" t="str">
        <x:v>CMP-1</x:v>
      </x:c>
      <x:c r="E38" s="1" t="str">
        <x:v>Registration check 3</x:v>
      </x:c>
      <x:c r="F38" s="1" t="str">
        <x:f>'Requirements'!D9</x:f>
        <x:v>Must</x:v>
      </x:c>
      <x:c r="G38" s="6" t="str">
        <x:v>Yes</x:v>
      </x:c>
      <x:c r="H38" s="6" t="str">
        <x:v>Yes</x:v>
      </x:c>
      <x:c r="I38" s="6" t="str">
        <x:v>Passed</x:v>
      </x:c>
      <x:c r="J38" s="1" t="str">
        <x:f>IF(AND(G38="No",OR(H38="Yes",I38="Passed",I38="Failed")),"Check inputs","OK")</x:f>
        <x:v>OK</x:v>
      </x:c>
    </x:row>
    <x:row r="39" ht="25" customHeight="1">
      <x:c r="A39" s="1" t="str">
        <x:v>US-04-T4</x:v>
      </x:c>
      <x:c r="B39" s="1" t="str">
        <x:v>US-04</x:v>
      </x:c>
      <x:c r="C39" s="1" t="str">
        <x:v>FR-04</x:v>
      </x:c>
      <x:c r="D39" s="1" t="str">
        <x:v>CMP-1</x:v>
      </x:c>
      <x:c r="E39" s="1" t="str">
        <x:v>Registration check 4</x:v>
      </x:c>
      <x:c r="F39" s="1" t="str">
        <x:f>'Requirements'!D9</x:f>
        <x:v>Must</x:v>
      </x:c>
      <x:c r="G39" s="6" t="str">
        <x:v>Yes</x:v>
      </x:c>
      <x:c r="H39" s="6" t="str">
        <x:v>Yes</x:v>
      </x:c>
      <x:c r="I39" s="6" t="str">
        <x:v>Passed</x:v>
      </x:c>
      <x:c r="J39" s="1" t="str">
        <x:f>IF(AND(G39="No",OR(H39="Yes",I39="Passed",I39="Failed")),"Check inputs","OK")</x:f>
        <x:v>OK</x:v>
      </x:c>
    </x:row>
    <x:row r="40" ht="25" customHeight="1">
      <x:c r="A40" s="1" t="str">
        <x:v>US-04-T5</x:v>
      </x:c>
      <x:c r="B40" s="1" t="str">
        <x:v>US-04</x:v>
      </x:c>
      <x:c r="C40" s="1" t="str">
        <x:v>FR-04</x:v>
      </x:c>
      <x:c r="D40" s="1" t="str">
        <x:v>CMP-1</x:v>
      </x:c>
      <x:c r="E40" s="1" t="str">
        <x:v>Registration check 5</x:v>
      </x:c>
      <x:c r="F40" s="1" t="str">
        <x:f>'Requirements'!D9</x:f>
        <x:v>Must</x:v>
      </x:c>
      <x:c r="G40" s="6" t="str">
        <x:v>Yes</x:v>
      </x:c>
      <x:c r="H40" s="6" t="str">
        <x:v>Yes</x:v>
      </x:c>
      <x:c r="I40" s="6" t="str">
        <x:v>Passed</x:v>
      </x:c>
      <x:c r="J40" s="1" t="str">
        <x:f>IF(AND(G40="No",OR(H40="Yes",I40="Passed",I40="Failed")),"Check inputs","OK")</x:f>
        <x:v>OK</x:v>
      </x:c>
    </x:row>
    <x:row r="41" ht="25" customHeight="1">
      <x:c r="A41" s="1" t="str">
        <x:v>US-04-T6</x:v>
      </x:c>
      <x:c r="B41" s="1" t="str">
        <x:v>US-04</x:v>
      </x:c>
      <x:c r="C41" s="1" t="str">
        <x:v>FR-04</x:v>
      </x:c>
      <x:c r="D41" s="1" t="str">
        <x:v>CMP-1</x:v>
      </x:c>
      <x:c r="E41" s="1" t="str">
        <x:v>Registration check 6</x:v>
      </x:c>
      <x:c r="F41" s="1" t="str">
        <x:f>'Requirements'!D9</x:f>
        <x:v>Must</x:v>
      </x:c>
      <x:c r="G41" s="6" t="str">
        <x:v>Yes</x:v>
      </x:c>
      <x:c r="H41" s="6" t="str">
        <x:v>Yes</x:v>
      </x:c>
      <x:c r="I41" s="6" t="str">
        <x:v>Passed</x:v>
      </x:c>
      <x:c r="J41" s="1" t="str">
        <x:f>IF(AND(G41="No",OR(H41="Yes",I41="Passed",I41="Failed")),"Check inputs","OK")</x:f>
        <x:v>OK</x:v>
      </x:c>
    </x:row>
    <x:row r="42" ht="25" customHeight="1">
      <x:c r="A42" s="1" t="str">
        <x:v>US-04-T7</x:v>
      </x:c>
      <x:c r="B42" s="1" t="str">
        <x:v>US-04</x:v>
      </x:c>
      <x:c r="C42" s="1" t="str">
        <x:v>FR-04</x:v>
      </x:c>
      <x:c r="D42" s="1" t="str">
        <x:v>CMP-1</x:v>
      </x:c>
      <x:c r="E42" s="1" t="str">
        <x:v>Registration check 7</x:v>
      </x:c>
      <x:c r="F42" s="1" t="str">
        <x:f>'Requirements'!D9</x:f>
        <x:v>Must</x:v>
      </x:c>
      <x:c r="G42" s="6" t="str">
        <x:v>Yes</x:v>
      </x:c>
      <x:c r="H42" s="6" t="str">
        <x:v>Yes</x:v>
      </x:c>
      <x:c r="I42" s="6" t="str">
        <x:v>Passed</x:v>
      </x:c>
      <x:c r="J42" s="1" t="str">
        <x:f>IF(AND(G42="No",OR(H42="Yes",I42="Passed",I42="Failed")),"Check inputs","OK")</x:f>
        <x:v>OK</x:v>
      </x:c>
    </x:row>
    <x:row r="43" ht="25" customHeight="1">
      <x:c r="A43" s="1" t="str">
        <x:v>US-04-T8</x:v>
      </x:c>
      <x:c r="B43" s="1" t="str">
        <x:v>US-04</x:v>
      </x:c>
      <x:c r="C43" s="1" t="str">
        <x:v>FR-04</x:v>
      </x:c>
      <x:c r="D43" s="1" t="str">
        <x:v>CMP-1</x:v>
      </x:c>
      <x:c r="E43" s="1" t="str">
        <x:v>Registration check 8</x:v>
      </x:c>
      <x:c r="F43" s="1" t="str">
        <x:f>'Requirements'!D9</x:f>
        <x:v>Must</x:v>
      </x:c>
      <x:c r="G43" s="6" t="str">
        <x:v>Yes</x:v>
      </x:c>
      <x:c r="H43" s="6" t="str">
        <x:v>Yes</x:v>
      </x:c>
      <x:c r="I43" s="6" t="str">
        <x:v>Passed</x:v>
      </x:c>
      <x:c r="J43" s="1" t="str">
        <x:f>IF(AND(G43="No",OR(H43="Yes",I43="Passed",I43="Failed")),"Check inputs","OK")</x:f>
        <x:v>OK</x:v>
      </x:c>
    </x:row>
    <x:row r="44" ht="25" customHeight="1">
      <x:c r="A44" s="1" t="str">
        <x:v>US-04-T9</x:v>
      </x:c>
      <x:c r="B44" s="1" t="str">
        <x:v>US-04</x:v>
      </x:c>
      <x:c r="C44" s="1" t="str">
        <x:v>FR-04</x:v>
      </x:c>
      <x:c r="D44" s="1" t="str">
        <x:v>CMP-1</x:v>
      </x:c>
      <x:c r="E44" s="1" t="str">
        <x:v>Registration check 9</x:v>
      </x:c>
      <x:c r="F44" s="1" t="str">
        <x:f>'Requirements'!D9</x:f>
        <x:v>Must</x:v>
      </x:c>
      <x:c r="G44" s="6" t="str">
        <x:v>Yes</x:v>
      </x:c>
      <x:c r="H44" s="6" t="str">
        <x:v>Yes</x:v>
      </x:c>
      <x:c r="I44" s="6" t="str">
        <x:v>Passed</x:v>
      </x:c>
      <x:c r="J44" s="1" t="str">
        <x:f>IF(AND(G44="No",OR(H44="Yes",I44="Passed",I44="Failed")),"Check inputs","OK")</x:f>
        <x:v>OK</x:v>
      </x:c>
    </x:row>
    <x:row r="45" ht="25" customHeight="1">
      <x:c r="A45" s="1" t="str">
        <x:v>US-04-T10</x:v>
      </x:c>
      <x:c r="B45" s="1" t="str">
        <x:v>US-04</x:v>
      </x:c>
      <x:c r="C45" s="1" t="str">
        <x:v>FR-04</x:v>
      </x:c>
      <x:c r="D45" s="1" t="str">
        <x:v>CMP-1</x:v>
      </x:c>
      <x:c r="E45" s="1" t="str">
        <x:v>Registration check 10</x:v>
      </x:c>
      <x:c r="F45" s="1" t="str">
        <x:f>'Requirements'!D9</x:f>
        <x:v>Must</x:v>
      </x:c>
      <x:c r="G45" s="6" t="str">
        <x:v>Yes</x:v>
      </x:c>
      <x:c r="H45" s="6" t="str">
        <x:v>Yes</x:v>
      </x:c>
      <x:c r="I45" s="6" t="str">
        <x:v>Passed</x:v>
      </x:c>
      <x:c r="J45" s="1" t="str">
        <x:f>IF(AND(G45="No",OR(H45="Yes",I45="Passed",I45="Failed")),"Check inputs","OK")</x:f>
        <x:v>OK</x:v>
      </x:c>
    </x:row>
    <x:row r="46" ht="25" customHeight="1">
      <x:c r="A46" s="1" t="str">
        <x:v>US-05-T1</x:v>
      </x:c>
      <x:c r="B46" s="1" t="str">
        <x:v>US-05</x:v>
      </x:c>
      <x:c r="C46" s="1" t="str">
        <x:v>FR-05</x:v>
      </x:c>
      <x:c r="D46" s="1" t="str">
        <x:v>CMP-1</x:v>
      </x:c>
      <x:c r="E46" s="1" t="str">
        <x:v>Registration check 1</x:v>
      </x:c>
      <x:c r="F46" s="1" t="str">
        <x:f>'Requirements'!D10</x:f>
        <x:v>Should</x:v>
      </x:c>
      <x:c r="G46" s="6" t="str">
        <x:v>Yes</x:v>
      </x:c>
      <x:c r="H46" s="6" t="str">
        <x:v>No</x:v>
      </x:c>
      <x:c r="I46" s="6" t="str">
        <x:v>Passed</x:v>
      </x:c>
      <x:c r="J46" s="1" t="str">
        <x:f>IF(AND(G46="No",OR(H46="Yes",I46="Passed",I46="Failed")),"Check inputs","OK")</x:f>
        <x:v>OK</x:v>
      </x:c>
    </x:row>
    <x:row r="47" ht="25" customHeight="1">
      <x:c r="A47" s="1" t="str">
        <x:v>US-05-T2</x:v>
      </x:c>
      <x:c r="B47" s="1" t="str">
        <x:v>US-05</x:v>
      </x:c>
      <x:c r="C47" s="1" t="str">
        <x:v>FR-05</x:v>
      </x:c>
      <x:c r="D47" s="1" t="str">
        <x:v>CMP-1</x:v>
      </x:c>
      <x:c r="E47" s="1" t="str">
        <x:v>Registration check 2</x:v>
      </x:c>
      <x:c r="F47" s="1" t="str">
        <x:f>'Requirements'!D10</x:f>
        <x:v>Should</x:v>
      </x:c>
      <x:c r="G47" s="6" t="str">
        <x:v>Yes</x:v>
      </x:c>
      <x:c r="H47" s="6" t="str">
        <x:v>No</x:v>
      </x:c>
      <x:c r="I47" s="6" t="str">
        <x:v>Passed</x:v>
      </x:c>
      <x:c r="J47" s="1" t="str">
        <x:f>IF(AND(G47="No",OR(H47="Yes",I47="Passed",I47="Failed")),"Check inputs","OK")</x:f>
        <x:v>OK</x:v>
      </x:c>
    </x:row>
    <x:row r="48" ht="25" customHeight="1">
      <x:c r="A48" s="1" t="str">
        <x:v>US-05-T3</x:v>
      </x:c>
      <x:c r="B48" s="1" t="str">
        <x:v>US-05</x:v>
      </x:c>
      <x:c r="C48" s="1" t="str">
        <x:v>FR-05</x:v>
      </x:c>
      <x:c r="D48" s="1" t="str">
        <x:v>CMP-1</x:v>
      </x:c>
      <x:c r="E48" s="1" t="str">
        <x:v>Registration check 3</x:v>
      </x:c>
      <x:c r="F48" s="1" t="str">
        <x:f>'Requirements'!D10</x:f>
        <x:v>Should</x:v>
      </x:c>
      <x:c r="G48" s="6" t="str">
        <x:v>Yes</x:v>
      </x:c>
      <x:c r="H48" s="6" t="str">
        <x:v>No</x:v>
      </x:c>
      <x:c r="I48" s="6" t="str">
        <x:v>Passed</x:v>
      </x:c>
      <x:c r="J48" s="1" t="str">
        <x:f>IF(AND(G48="No",OR(H48="Yes",I48="Passed",I48="Failed")),"Check inputs","OK")</x:f>
        <x:v>OK</x:v>
      </x:c>
    </x:row>
    <x:row r="49" ht="25" customHeight="1">
      <x:c r="A49" s="1" t="str">
        <x:v>US-05-T4</x:v>
      </x:c>
      <x:c r="B49" s="1" t="str">
        <x:v>US-05</x:v>
      </x:c>
      <x:c r="C49" s="1" t="str">
        <x:v>FR-05</x:v>
      </x:c>
      <x:c r="D49" s="1" t="str">
        <x:v>CMP-1</x:v>
      </x:c>
      <x:c r="E49" s="1" t="str">
        <x:v>Registration check 4</x:v>
      </x:c>
      <x:c r="F49" s="1" t="str">
        <x:f>'Requirements'!D10</x:f>
        <x:v>Should</x:v>
      </x:c>
      <x:c r="G49" s="6" t="str">
        <x:v>Yes</x:v>
      </x:c>
      <x:c r="H49" s="6" t="str">
        <x:v>No</x:v>
      </x:c>
      <x:c r="I49" s="6" t="str">
        <x:v>Passed</x:v>
      </x:c>
      <x:c r="J49" s="1" t="str">
        <x:f>IF(AND(G49="No",OR(H49="Yes",I49="Passed",I49="Failed")),"Check inputs","OK")</x:f>
        <x:v>OK</x:v>
      </x:c>
    </x:row>
    <x:row r="50" ht="25" customHeight="1">
      <x:c r="A50" s="1" t="str">
        <x:v>US-05-T5</x:v>
      </x:c>
      <x:c r="B50" s="1" t="str">
        <x:v>US-05</x:v>
      </x:c>
      <x:c r="C50" s="1" t="str">
        <x:v>FR-05</x:v>
      </x:c>
      <x:c r="D50" s="1" t="str">
        <x:v>CMP-1</x:v>
      </x:c>
      <x:c r="E50" s="1" t="str">
        <x:v>Registration check 5</x:v>
      </x:c>
      <x:c r="F50" s="1" t="str">
        <x:f>'Requirements'!D10</x:f>
        <x:v>Should</x:v>
      </x:c>
      <x:c r="G50" s="6" t="str">
        <x:v>Yes</x:v>
      </x:c>
      <x:c r="H50" s="6" t="str">
        <x:v>No</x:v>
      </x:c>
      <x:c r="I50" s="6" t="str">
        <x:v>Passed</x:v>
      </x:c>
      <x:c r="J50" s="1" t="str">
        <x:f>IF(AND(G50="No",OR(H50="Yes",I50="Passed",I50="Failed")),"Check inputs","OK")</x:f>
        <x:v>OK</x:v>
      </x:c>
    </x:row>
    <x:row r="51" ht="25" customHeight="1">
      <x:c r="A51" s="1" t="str">
        <x:v>US-05-T6</x:v>
      </x:c>
      <x:c r="B51" s="1" t="str">
        <x:v>US-05</x:v>
      </x:c>
      <x:c r="C51" s="1" t="str">
        <x:v>FR-05</x:v>
      </x:c>
      <x:c r="D51" s="1" t="str">
        <x:v>CMP-1</x:v>
      </x:c>
      <x:c r="E51" s="1" t="str">
        <x:v>Registration check 6</x:v>
      </x:c>
      <x:c r="F51" s="1" t="str">
        <x:f>'Requirements'!D10</x:f>
        <x:v>Should</x:v>
      </x:c>
      <x:c r="G51" s="6" t="str">
        <x:v>Yes</x:v>
      </x:c>
      <x:c r="H51" s="6" t="str">
        <x:v>No</x:v>
      </x:c>
      <x:c r="I51" s="6" t="str">
        <x:v>Passed</x:v>
      </x:c>
      <x:c r="J51" s="1" t="str">
        <x:f>IF(AND(G51="No",OR(H51="Yes",I51="Passed",I51="Failed")),"Check inputs","OK")</x:f>
        <x:v>OK</x:v>
      </x:c>
    </x:row>
    <x:row r="52" ht="25" customHeight="1">
      <x:c r="A52" s="1" t="str">
        <x:v>US-05-T7</x:v>
      </x:c>
      <x:c r="B52" s="1" t="str">
        <x:v>US-05</x:v>
      </x:c>
      <x:c r="C52" s="1" t="str">
        <x:v>FR-05</x:v>
      </x:c>
      <x:c r="D52" s="1" t="str">
        <x:v>CMP-1</x:v>
      </x:c>
      <x:c r="E52" s="1" t="str">
        <x:v>Registration check 7</x:v>
      </x:c>
      <x:c r="F52" s="1" t="str">
        <x:f>'Requirements'!D10</x:f>
        <x:v>Should</x:v>
      </x:c>
      <x:c r="G52" s="6" t="str">
        <x:v>Yes</x:v>
      </x:c>
      <x:c r="H52" s="6" t="str">
        <x:v>No</x:v>
      </x:c>
      <x:c r="I52" s="6" t="str">
        <x:v>Passed</x:v>
      </x:c>
      <x:c r="J52" s="1" t="str">
        <x:f>IF(AND(G52="No",OR(H52="Yes",I52="Passed",I52="Failed")),"Check inputs","OK")</x:f>
        <x:v>OK</x:v>
      </x:c>
    </x:row>
    <x:row r="53" ht="25" customHeight="1">
      <x:c r="A53" s="1" t="str">
        <x:v>US-05-T8</x:v>
      </x:c>
      <x:c r="B53" s="1" t="str">
        <x:v>US-05</x:v>
      </x:c>
      <x:c r="C53" s="1" t="str">
        <x:v>FR-05</x:v>
      </x:c>
      <x:c r="D53" s="1" t="str">
        <x:v>CMP-1</x:v>
      </x:c>
      <x:c r="E53" s="1" t="str">
        <x:v>Registration check 8</x:v>
      </x:c>
      <x:c r="F53" s="1" t="str">
        <x:f>'Requirements'!D10</x:f>
        <x:v>Should</x:v>
      </x:c>
      <x:c r="G53" s="6" t="str">
        <x:v>Yes</x:v>
      </x:c>
      <x:c r="H53" s="6" t="str">
        <x:v>No</x:v>
      </x:c>
      <x:c r="I53" s="6" t="str">
        <x:v>Passed</x:v>
      </x:c>
      <x:c r="J53" s="1" t="str">
        <x:f>IF(AND(G53="No",OR(H53="Yes",I53="Passed",I53="Failed")),"Check inputs","OK")</x:f>
        <x:v>OK</x:v>
      </x:c>
    </x:row>
    <x:row r="54" ht="25" customHeight="1">
      <x:c r="A54" s="1" t="str">
        <x:v>US-05-T9</x:v>
      </x:c>
      <x:c r="B54" s="1" t="str">
        <x:v>US-05</x:v>
      </x:c>
      <x:c r="C54" s="1" t="str">
        <x:v>FR-05</x:v>
      </x:c>
      <x:c r="D54" s="1" t="str">
        <x:v>CMP-1</x:v>
      </x:c>
      <x:c r="E54" s="1" t="str">
        <x:v>Registration check 9</x:v>
      </x:c>
      <x:c r="F54" s="1" t="str">
        <x:f>'Requirements'!D10</x:f>
        <x:v>Should</x:v>
      </x:c>
      <x:c r="G54" s="6" t="str">
        <x:v>Yes</x:v>
      </x:c>
      <x:c r="H54" s="6" t="str">
        <x:v>No</x:v>
      </x:c>
      <x:c r="I54" s="6" t="str">
        <x:v>Passed</x:v>
      </x:c>
      <x:c r="J54" s="1" t="str">
        <x:f>IF(AND(G54="No",OR(H54="Yes",I54="Passed",I54="Failed")),"Check inputs","OK")</x:f>
        <x:v>OK</x:v>
      </x:c>
    </x:row>
    <x:row r="55" ht="25" customHeight="1">
      <x:c r="A55" s="1" t="str">
        <x:v>US-05-T10</x:v>
      </x:c>
      <x:c r="B55" s="1" t="str">
        <x:v>US-05</x:v>
      </x:c>
      <x:c r="C55" s="1" t="str">
        <x:v>FR-05</x:v>
      </x:c>
      <x:c r="D55" s="1" t="str">
        <x:v>CMP-1</x:v>
      </x:c>
      <x:c r="E55" s="1" t="str">
        <x:v>Registration check 10</x:v>
      </x:c>
      <x:c r="F55" s="1" t="str">
        <x:f>'Requirements'!D10</x:f>
        <x:v>Should</x:v>
      </x:c>
      <x:c r="G55" s="6" t="str">
        <x:v>Yes</x:v>
      </x:c>
      <x:c r="H55" s="6" t="str">
        <x:v>No</x:v>
      </x:c>
      <x:c r="I55" s="6" t="str">
        <x:v>Passed</x:v>
      </x:c>
      <x:c r="J55" s="1" t="str">
        <x:f>IF(AND(G55="No",OR(H55="Yes",I55="Passed",I55="Failed")),"Check inputs","OK")</x:f>
        <x:v>OK</x:v>
      </x:c>
    </x:row>
    <x:row r="56" ht="25" customHeight="1">
      <x:c r="A56" s="1" t="str">
        <x:v>US-06-T1</x:v>
      </x:c>
      <x:c r="B56" s="1" t="str">
        <x:v>US-06</x:v>
      </x:c>
      <x:c r="C56" s="1" t="str">
        <x:v>FR-06</x:v>
      </x:c>
      <x:c r="D56" s="1" t="str">
        <x:v>CMP-2</x:v>
      </x:c>
      <x:c r="E56" s="1" t="str">
        <x:v>Session Management check 1</x:v>
      </x:c>
      <x:c r="F56" s="1" t="str">
        <x:f>'Requirements'!D11</x:f>
        <x:v>Must</x:v>
      </x:c>
      <x:c r="G56" s="6" t="str">
        <x:v>Yes</x:v>
      </x:c>
      <x:c r="H56" s="6" t="str">
        <x:v>Yes</x:v>
      </x:c>
      <x:c r="I56" s="6" t="str">
        <x:v>Passed</x:v>
      </x:c>
      <x:c r="J56" s="1" t="str">
        <x:f>IF(AND(G56="No",OR(H56="Yes",I56="Passed",I56="Failed")),"Check inputs","OK")</x:f>
        <x:v>OK</x:v>
      </x:c>
    </x:row>
    <x:row r="57" ht="25" customHeight="1">
      <x:c r="A57" s="1" t="str">
        <x:v>US-06-T2</x:v>
      </x:c>
      <x:c r="B57" s="1" t="str">
        <x:v>US-06</x:v>
      </x:c>
      <x:c r="C57" s="1" t="str">
        <x:v>FR-06</x:v>
      </x:c>
      <x:c r="D57" s="1" t="str">
        <x:v>CMP-2</x:v>
      </x:c>
      <x:c r="E57" s="1" t="str">
        <x:v>Session Management check 2</x:v>
      </x:c>
      <x:c r="F57" s="1" t="str">
        <x:f>'Requirements'!D11</x:f>
        <x:v>Must</x:v>
      </x:c>
      <x:c r="G57" s="6" t="str">
        <x:v>Yes</x:v>
      </x:c>
      <x:c r="H57" s="6" t="str">
        <x:v>Yes</x:v>
      </x:c>
      <x:c r="I57" s="6" t="str">
        <x:v>Passed</x:v>
      </x:c>
      <x:c r="J57" s="1" t="str">
        <x:f>IF(AND(G57="No",OR(H57="Yes",I57="Passed",I57="Failed")),"Check inputs","OK")</x:f>
        <x:v>OK</x:v>
      </x:c>
    </x:row>
    <x:row r="58" ht="25" customHeight="1">
      <x:c r="A58" s="1" t="str">
        <x:v>US-06-T3</x:v>
      </x:c>
      <x:c r="B58" s="1" t="str">
        <x:v>US-06</x:v>
      </x:c>
      <x:c r="C58" s="1" t="str">
        <x:v>FR-06</x:v>
      </x:c>
      <x:c r="D58" s="1" t="str">
        <x:v>CMP-2</x:v>
      </x:c>
      <x:c r="E58" s="1" t="str">
        <x:v>Session Management check 3</x:v>
      </x:c>
      <x:c r="F58" s="1" t="str">
        <x:f>'Requirements'!D11</x:f>
        <x:v>Must</x:v>
      </x:c>
      <x:c r="G58" s="6" t="str">
        <x:v>Yes</x:v>
      </x:c>
      <x:c r="H58" s="6" t="str">
        <x:v>Yes</x:v>
      </x:c>
      <x:c r="I58" s="6" t="str">
        <x:v>Passed</x:v>
      </x:c>
      <x:c r="J58" s="1" t="str">
        <x:f>IF(AND(G58="No",OR(H58="Yes",I58="Passed",I58="Failed")),"Check inputs","OK")</x:f>
        <x:v>OK</x:v>
      </x:c>
    </x:row>
    <x:row r="59" ht="25" customHeight="1">
      <x:c r="A59" s="1" t="str">
        <x:v>US-06-T4</x:v>
      </x:c>
      <x:c r="B59" s="1" t="str">
        <x:v>US-06</x:v>
      </x:c>
      <x:c r="C59" s="1" t="str">
        <x:v>FR-06</x:v>
      </x:c>
      <x:c r="D59" s="1" t="str">
        <x:v>CMP-2</x:v>
      </x:c>
      <x:c r="E59" s="1" t="str">
        <x:v>Session Management check 4</x:v>
      </x:c>
      <x:c r="F59" s="1" t="str">
        <x:f>'Requirements'!D11</x:f>
        <x:v>Must</x:v>
      </x:c>
      <x:c r="G59" s="6" t="str">
        <x:v>Yes</x:v>
      </x:c>
      <x:c r="H59" s="6" t="str">
        <x:v>Yes</x:v>
      </x:c>
      <x:c r="I59" s="6" t="str">
        <x:v>Passed</x:v>
      </x:c>
      <x:c r="J59" s="1" t="str">
        <x:f>IF(AND(G59="No",OR(H59="Yes",I59="Passed",I59="Failed")),"Check inputs","OK")</x:f>
        <x:v>OK</x:v>
      </x:c>
    </x:row>
    <x:row r="60" ht="25" customHeight="1">
      <x:c r="A60" s="1" t="str">
        <x:v>US-06-T5</x:v>
      </x:c>
      <x:c r="B60" s="1" t="str">
        <x:v>US-06</x:v>
      </x:c>
      <x:c r="C60" s="1" t="str">
        <x:v>FR-06</x:v>
      </x:c>
      <x:c r="D60" s="1" t="str">
        <x:v>CMP-2</x:v>
      </x:c>
      <x:c r="E60" s="1" t="str">
        <x:v>Session Management check 5</x:v>
      </x:c>
      <x:c r="F60" s="1" t="str">
        <x:f>'Requirements'!D11</x:f>
        <x:v>Must</x:v>
      </x:c>
      <x:c r="G60" s="6" t="str">
        <x:v>Yes</x:v>
      </x:c>
      <x:c r="H60" s="6" t="str">
        <x:v>Yes</x:v>
      </x:c>
      <x:c r="I60" s="6" t="str">
        <x:v>Passed</x:v>
      </x:c>
      <x:c r="J60" s="1" t="str">
        <x:f>IF(AND(G60="No",OR(H60="Yes",I60="Passed",I60="Failed")),"Check inputs","OK")</x:f>
        <x:v>OK</x:v>
      </x:c>
    </x:row>
    <x:row r="61" ht="25" customHeight="1">
      <x:c r="A61" s="1" t="str">
        <x:v>US-06-T6</x:v>
      </x:c>
      <x:c r="B61" s="1" t="str">
        <x:v>US-06</x:v>
      </x:c>
      <x:c r="C61" s="1" t="str">
        <x:v>FR-06</x:v>
      </x:c>
      <x:c r="D61" s="1" t="str">
        <x:v>CMP-2</x:v>
      </x:c>
      <x:c r="E61" s="1" t="str">
        <x:v>Session Management check 6</x:v>
      </x:c>
      <x:c r="F61" s="1" t="str">
        <x:f>'Requirements'!D11</x:f>
        <x:v>Must</x:v>
      </x:c>
      <x:c r="G61" s="6" t="str">
        <x:v>Yes</x:v>
      </x:c>
      <x:c r="H61" s="6" t="str">
        <x:v>Yes</x:v>
      </x:c>
      <x:c r="I61" s="6" t="str">
        <x:v>Passed</x:v>
      </x:c>
      <x:c r="J61" s="1" t="str">
        <x:f>IF(AND(G61="No",OR(H61="Yes",I61="Passed",I61="Failed")),"Check inputs","OK")</x:f>
        <x:v>OK</x:v>
      </x:c>
    </x:row>
    <x:row r="62" ht="25" customHeight="1">
      <x:c r="A62" s="1" t="str">
        <x:v>US-06-T7</x:v>
      </x:c>
      <x:c r="B62" s="1" t="str">
        <x:v>US-06</x:v>
      </x:c>
      <x:c r="C62" s="1" t="str">
        <x:v>FR-06</x:v>
      </x:c>
      <x:c r="D62" s="1" t="str">
        <x:v>CMP-2</x:v>
      </x:c>
      <x:c r="E62" s="1" t="str">
        <x:v>Session Management check 7</x:v>
      </x:c>
      <x:c r="F62" s="1" t="str">
        <x:f>'Requirements'!D11</x:f>
        <x:v>Must</x:v>
      </x:c>
      <x:c r="G62" s="6" t="str">
        <x:v>Yes</x:v>
      </x:c>
      <x:c r="H62" s="6" t="str">
        <x:v>Yes</x:v>
      </x:c>
      <x:c r="I62" s="6" t="str">
        <x:v>Passed</x:v>
      </x:c>
      <x:c r="J62" s="1" t="str">
        <x:f>IF(AND(G62="No",OR(H62="Yes",I62="Passed",I62="Failed")),"Check inputs","OK")</x:f>
        <x:v>OK</x:v>
      </x:c>
    </x:row>
    <x:row r="63" ht="25" customHeight="1">
      <x:c r="A63" s="1" t="str">
        <x:v>US-06-T8</x:v>
      </x:c>
      <x:c r="B63" s="1" t="str">
        <x:v>US-06</x:v>
      </x:c>
      <x:c r="C63" s="1" t="str">
        <x:v>FR-06</x:v>
      </x:c>
      <x:c r="D63" s="1" t="str">
        <x:v>CMP-2</x:v>
      </x:c>
      <x:c r="E63" s="1" t="str">
        <x:v>Session Management check 8</x:v>
      </x:c>
      <x:c r="F63" s="1" t="str">
        <x:f>'Requirements'!D11</x:f>
        <x:v>Must</x:v>
      </x:c>
      <x:c r="G63" s="6" t="str">
        <x:v>Yes</x:v>
      </x:c>
      <x:c r="H63" s="6" t="str">
        <x:v>Yes</x:v>
      </x:c>
      <x:c r="I63" s="6" t="str">
        <x:v>Passed</x:v>
      </x:c>
      <x:c r="J63" s="1" t="str">
        <x:f>IF(AND(G63="No",OR(H63="Yes",I63="Passed",I63="Failed")),"Check inputs","OK")</x:f>
        <x:v>OK</x:v>
      </x:c>
    </x:row>
    <x:row r="64" ht="25" customHeight="1">
      <x:c r="A64" s="1" t="str">
        <x:v>US-06-T9</x:v>
      </x:c>
      <x:c r="B64" s="1" t="str">
        <x:v>US-06</x:v>
      </x:c>
      <x:c r="C64" s="1" t="str">
        <x:v>FR-06</x:v>
      </x:c>
      <x:c r="D64" s="1" t="str">
        <x:v>CMP-2</x:v>
      </x:c>
      <x:c r="E64" s="1" t="str">
        <x:v>Session Management check 9</x:v>
      </x:c>
      <x:c r="F64" s="1" t="str">
        <x:f>'Requirements'!D11</x:f>
        <x:v>Must</x:v>
      </x:c>
      <x:c r="G64" s="6" t="str">
        <x:v>Yes</x:v>
      </x:c>
      <x:c r="H64" s="6" t="str">
        <x:v>Yes</x:v>
      </x:c>
      <x:c r="I64" s="6" t="str">
        <x:v>Passed</x:v>
      </x:c>
      <x:c r="J64" s="1" t="str">
        <x:f>IF(AND(G64="No",OR(H64="Yes",I64="Passed",I64="Failed")),"Check inputs","OK")</x:f>
        <x:v>OK</x:v>
      </x:c>
    </x:row>
    <x:row r="65" ht="25" customHeight="1">
      <x:c r="A65" s="1" t="str">
        <x:v>US-06-T10</x:v>
      </x:c>
      <x:c r="B65" s="1" t="str">
        <x:v>US-06</x:v>
      </x:c>
      <x:c r="C65" s="1" t="str">
        <x:v>FR-06</x:v>
      </x:c>
      <x:c r="D65" s="1" t="str">
        <x:v>CMP-2</x:v>
      </x:c>
      <x:c r="E65" s="1" t="str">
        <x:v>Session Management check 10</x:v>
      </x:c>
      <x:c r="F65" s="1" t="str">
        <x:f>'Requirements'!D11</x:f>
        <x:v>Must</x:v>
      </x:c>
      <x:c r="G65" s="6" t="str">
        <x:v>Yes</x:v>
      </x:c>
      <x:c r="H65" s="6" t="str">
        <x:v>Yes</x:v>
      </x:c>
      <x:c r="I65" s="6" t="str">
        <x:v>Passed</x:v>
      </x:c>
      <x:c r="J65" s="1" t="str">
        <x:f>IF(AND(G65="No",OR(H65="Yes",I65="Passed",I65="Failed")),"Check inputs","OK")</x:f>
        <x:v>OK</x:v>
      </x:c>
    </x:row>
    <x:row r="66" ht="25" customHeight="1">
      <x:c r="A66" s="1" t="str">
        <x:v>US-07-T1</x:v>
      </x:c>
      <x:c r="B66" s="1" t="str">
        <x:v>US-07</x:v>
      </x:c>
      <x:c r="C66" s="1" t="str">
        <x:v>FR-07</x:v>
      </x:c>
      <x:c r="D66" s="1" t="str">
        <x:v>CMP-2</x:v>
      </x:c>
      <x:c r="E66" s="1" t="str">
        <x:v>Session Management check 1</x:v>
      </x:c>
      <x:c r="F66" s="1" t="str">
        <x:f>'Requirements'!D12</x:f>
        <x:v>Must</x:v>
      </x:c>
      <x:c r="G66" s="6" t="str">
        <x:v>Yes</x:v>
      </x:c>
      <x:c r="H66" s="6" t="str">
        <x:v>Yes</x:v>
      </x:c>
      <x:c r="I66" s="6" t="str">
        <x:v>Passed</x:v>
      </x:c>
      <x:c r="J66" s="1" t="str">
        <x:f>IF(AND(G66="No",OR(H66="Yes",I66="Passed",I66="Failed")),"Check inputs","OK")</x:f>
        <x:v>OK</x:v>
      </x:c>
    </x:row>
    <x:row r="67" ht="25" customHeight="1">
      <x:c r="A67" s="1" t="str">
        <x:v>US-07-T2</x:v>
      </x:c>
      <x:c r="B67" s="1" t="str">
        <x:v>US-07</x:v>
      </x:c>
      <x:c r="C67" s="1" t="str">
        <x:v>FR-07</x:v>
      </x:c>
      <x:c r="D67" s="1" t="str">
        <x:v>CMP-2</x:v>
      </x:c>
      <x:c r="E67" s="1" t="str">
        <x:v>Session Management check 2</x:v>
      </x:c>
      <x:c r="F67" s="1" t="str">
        <x:f>'Requirements'!D12</x:f>
        <x:v>Must</x:v>
      </x:c>
      <x:c r="G67" s="6" t="str">
        <x:v>Yes</x:v>
      </x:c>
      <x:c r="H67" s="6" t="str">
        <x:v>Yes</x:v>
      </x:c>
      <x:c r="I67" s="6" t="str">
        <x:v>Passed</x:v>
      </x:c>
      <x:c r="J67" s="1" t="str">
        <x:f>IF(AND(G67="No",OR(H67="Yes",I67="Passed",I67="Failed")),"Check inputs","OK")</x:f>
        <x:v>OK</x:v>
      </x:c>
    </x:row>
    <x:row r="68" ht="25" customHeight="1">
      <x:c r="A68" s="1" t="str">
        <x:v>US-07-T3</x:v>
      </x:c>
      <x:c r="B68" s="1" t="str">
        <x:v>US-07</x:v>
      </x:c>
      <x:c r="C68" s="1" t="str">
        <x:v>FR-07</x:v>
      </x:c>
      <x:c r="D68" s="1" t="str">
        <x:v>CMP-2</x:v>
      </x:c>
      <x:c r="E68" s="1" t="str">
        <x:v>Session Management check 3</x:v>
      </x:c>
      <x:c r="F68" s="1" t="str">
        <x:f>'Requirements'!D12</x:f>
        <x:v>Must</x:v>
      </x:c>
      <x:c r="G68" s="6" t="str">
        <x:v>Yes</x:v>
      </x:c>
      <x:c r="H68" s="6" t="str">
        <x:v>Yes</x:v>
      </x:c>
      <x:c r="I68" s="6" t="str">
        <x:v>Passed</x:v>
      </x:c>
      <x:c r="J68" s="1" t="str">
        <x:f>IF(AND(G68="No",OR(H68="Yes",I68="Passed",I68="Failed")),"Check inputs","OK")</x:f>
        <x:v>OK</x:v>
      </x:c>
    </x:row>
    <x:row r="69" ht="25" customHeight="1">
      <x:c r="A69" s="1" t="str">
        <x:v>US-07-T4</x:v>
      </x:c>
      <x:c r="B69" s="1" t="str">
        <x:v>US-07</x:v>
      </x:c>
      <x:c r="C69" s="1" t="str">
        <x:v>FR-07</x:v>
      </x:c>
      <x:c r="D69" s="1" t="str">
        <x:v>CMP-2</x:v>
      </x:c>
      <x:c r="E69" s="1" t="str">
        <x:v>Session Management check 4</x:v>
      </x:c>
      <x:c r="F69" s="1" t="str">
        <x:f>'Requirements'!D12</x:f>
        <x:v>Must</x:v>
      </x:c>
      <x:c r="G69" s="6" t="str">
        <x:v>Yes</x:v>
      </x:c>
      <x:c r="H69" s="6" t="str">
        <x:v>Yes</x:v>
      </x:c>
      <x:c r="I69" s="6" t="str">
        <x:v>Passed</x:v>
      </x:c>
      <x:c r="J69" s="1" t="str">
        <x:f>IF(AND(G69="No",OR(H69="Yes",I69="Passed",I69="Failed")),"Check inputs","OK")</x:f>
        <x:v>OK</x:v>
      </x:c>
    </x:row>
    <x:row r="70" ht="25" customHeight="1">
      <x:c r="A70" s="1" t="str">
        <x:v>US-07-T5</x:v>
      </x:c>
      <x:c r="B70" s="1" t="str">
        <x:v>US-07</x:v>
      </x:c>
      <x:c r="C70" s="1" t="str">
        <x:v>FR-07</x:v>
      </x:c>
      <x:c r="D70" s="1" t="str">
        <x:v>CMP-2</x:v>
      </x:c>
      <x:c r="E70" s="1" t="str">
        <x:v>Session Management check 5</x:v>
      </x:c>
      <x:c r="F70" s="1" t="str">
        <x:f>'Requirements'!D12</x:f>
        <x:v>Must</x:v>
      </x:c>
      <x:c r="G70" s="6" t="str">
        <x:v>Yes</x:v>
      </x:c>
      <x:c r="H70" s="6" t="str">
        <x:v>Yes</x:v>
      </x:c>
      <x:c r="I70" s="6" t="str">
        <x:v>Passed</x:v>
      </x:c>
      <x:c r="J70" s="1" t="str">
        <x:f>IF(AND(G70="No",OR(H70="Yes",I70="Passed",I70="Failed")),"Check inputs","OK")</x:f>
        <x:v>OK</x:v>
      </x:c>
    </x:row>
    <x:row r="71" ht="25" customHeight="1">
      <x:c r="A71" s="1" t="str">
        <x:v>US-07-T6</x:v>
      </x:c>
      <x:c r="B71" s="1" t="str">
        <x:v>US-07</x:v>
      </x:c>
      <x:c r="C71" s="1" t="str">
        <x:v>FR-07</x:v>
      </x:c>
      <x:c r="D71" s="1" t="str">
        <x:v>CMP-2</x:v>
      </x:c>
      <x:c r="E71" s="1" t="str">
        <x:v>Session Management check 6</x:v>
      </x:c>
      <x:c r="F71" s="1" t="str">
        <x:f>'Requirements'!D12</x:f>
        <x:v>Must</x:v>
      </x:c>
      <x:c r="G71" s="6" t="str">
        <x:v>Yes</x:v>
      </x:c>
      <x:c r="H71" s="6" t="str">
        <x:v>Yes</x:v>
      </x:c>
      <x:c r="I71" s="6" t="str">
        <x:v>Passed</x:v>
      </x:c>
      <x:c r="J71" s="1" t="str">
        <x:f>IF(AND(G71="No",OR(H71="Yes",I71="Passed",I71="Failed")),"Check inputs","OK")</x:f>
        <x:v>OK</x:v>
      </x:c>
    </x:row>
    <x:row r="72" ht="25" customHeight="1">
      <x:c r="A72" s="1" t="str">
        <x:v>US-07-T7</x:v>
      </x:c>
      <x:c r="B72" s="1" t="str">
        <x:v>US-07</x:v>
      </x:c>
      <x:c r="C72" s="1" t="str">
        <x:v>FR-07</x:v>
      </x:c>
      <x:c r="D72" s="1" t="str">
        <x:v>CMP-2</x:v>
      </x:c>
      <x:c r="E72" s="1" t="str">
        <x:v>Session Management check 7</x:v>
      </x:c>
      <x:c r="F72" s="1" t="str">
        <x:f>'Requirements'!D12</x:f>
        <x:v>Must</x:v>
      </x:c>
      <x:c r="G72" s="6" t="str">
        <x:v>Yes</x:v>
      </x:c>
      <x:c r="H72" s="6" t="str">
        <x:v>Yes</x:v>
      </x:c>
      <x:c r="I72" s="6" t="str">
        <x:v>Passed</x:v>
      </x:c>
      <x:c r="J72" s="1" t="str">
        <x:f>IF(AND(G72="No",OR(H72="Yes",I72="Passed",I72="Failed")),"Check inputs","OK")</x:f>
        <x:v>OK</x:v>
      </x:c>
    </x:row>
    <x:row r="73" ht="25" customHeight="1">
      <x:c r="A73" s="1" t="str">
        <x:v>US-07-T8</x:v>
      </x:c>
      <x:c r="B73" s="1" t="str">
        <x:v>US-07</x:v>
      </x:c>
      <x:c r="C73" s="1" t="str">
        <x:v>FR-07</x:v>
      </x:c>
      <x:c r="D73" s="1" t="str">
        <x:v>CMP-2</x:v>
      </x:c>
      <x:c r="E73" s="1" t="str">
        <x:v>Session Management check 8</x:v>
      </x:c>
      <x:c r="F73" s="1" t="str">
        <x:f>'Requirements'!D12</x:f>
        <x:v>Must</x:v>
      </x:c>
      <x:c r="G73" s="6" t="str">
        <x:v>Yes</x:v>
      </x:c>
      <x:c r="H73" s="6" t="str">
        <x:v>Yes</x:v>
      </x:c>
      <x:c r="I73" s="6" t="str">
        <x:v>Passed</x:v>
      </x:c>
      <x:c r="J73" s="1" t="str">
        <x:f>IF(AND(G73="No",OR(H73="Yes",I73="Passed",I73="Failed")),"Check inputs","OK")</x:f>
        <x:v>OK</x:v>
      </x:c>
    </x:row>
    <x:row r="74" ht="25" customHeight="1">
      <x:c r="A74" s="1" t="str">
        <x:v>US-07-T9</x:v>
      </x:c>
      <x:c r="B74" s="1" t="str">
        <x:v>US-07</x:v>
      </x:c>
      <x:c r="C74" s="1" t="str">
        <x:v>FR-07</x:v>
      </x:c>
      <x:c r="D74" s="1" t="str">
        <x:v>CMP-2</x:v>
      </x:c>
      <x:c r="E74" s="1" t="str">
        <x:v>Session Management check 9</x:v>
      </x:c>
      <x:c r="F74" s="1" t="str">
        <x:f>'Requirements'!D12</x:f>
        <x:v>Must</x:v>
      </x:c>
      <x:c r="G74" s="6" t="str">
        <x:v>Yes</x:v>
      </x:c>
      <x:c r="H74" s="6" t="str">
        <x:v>Yes</x:v>
      </x:c>
      <x:c r="I74" s="6" t="str">
        <x:v>Passed</x:v>
      </x:c>
      <x:c r="J74" s="1" t="str">
        <x:f>IF(AND(G74="No",OR(H74="Yes",I74="Passed",I74="Failed")),"Check inputs","OK")</x:f>
        <x:v>OK</x:v>
      </x:c>
    </x:row>
    <x:row r="75" ht="25" customHeight="1">
      <x:c r="A75" s="1" t="str">
        <x:v>US-07-T10</x:v>
      </x:c>
      <x:c r="B75" s="1" t="str">
        <x:v>US-07</x:v>
      </x:c>
      <x:c r="C75" s="1" t="str">
        <x:v>FR-07</x:v>
      </x:c>
      <x:c r="D75" s="1" t="str">
        <x:v>CMP-2</x:v>
      </x:c>
      <x:c r="E75" s="1" t="str">
        <x:v>Session Management check 10</x:v>
      </x:c>
      <x:c r="F75" s="1" t="str">
        <x:f>'Requirements'!D12</x:f>
        <x:v>Must</x:v>
      </x:c>
      <x:c r="G75" s="6" t="str">
        <x:v>Yes</x:v>
      </x:c>
      <x:c r="H75" s="6" t="str">
        <x:v>Yes</x:v>
      </x:c>
      <x:c r="I75" s="6" t="str">
        <x:v>Passed</x:v>
      </x:c>
      <x:c r="J75" s="1" t="str">
        <x:f>IF(AND(G75="No",OR(H75="Yes",I75="Passed",I75="Failed")),"Check inputs","OK")</x:f>
        <x:v>OK</x:v>
      </x:c>
    </x:row>
    <x:row r="76" ht="25" customHeight="1">
      <x:c r="A76" s="1" t="str">
        <x:v>US-08-T1</x:v>
      </x:c>
      <x:c r="B76" s="1" t="str">
        <x:v>US-08</x:v>
      </x:c>
      <x:c r="C76" s="1" t="str">
        <x:v>FR-08</x:v>
      </x:c>
      <x:c r="D76" s="1" t="str">
        <x:v>CMP-2</x:v>
      </x:c>
      <x:c r="E76" s="1" t="str">
        <x:v>Session Management check 1</x:v>
      </x:c>
      <x:c r="F76" s="1" t="str">
        <x:f>'Requirements'!D13</x:f>
        <x:v>Must</x:v>
      </x:c>
      <x:c r="G76" s="6" t="str">
        <x:v>Yes</x:v>
      </x:c>
      <x:c r="H76" s="6" t="str">
        <x:v>Yes</x:v>
      </x:c>
      <x:c r="I76" s="6" t="str">
        <x:v>Passed</x:v>
      </x:c>
      <x:c r="J76" s="1" t="str">
        <x:f>IF(AND(G76="No",OR(H76="Yes",I76="Passed",I76="Failed")),"Check inputs","OK")</x:f>
        <x:v>OK</x:v>
      </x:c>
    </x:row>
    <x:row r="77" ht="25" customHeight="1">
      <x:c r="A77" s="1" t="str">
        <x:v>US-08-T2</x:v>
      </x:c>
      <x:c r="B77" s="1" t="str">
        <x:v>US-08</x:v>
      </x:c>
      <x:c r="C77" s="1" t="str">
        <x:v>FR-08</x:v>
      </x:c>
      <x:c r="D77" s="1" t="str">
        <x:v>CMP-2</x:v>
      </x:c>
      <x:c r="E77" s="1" t="str">
        <x:v>Session Management check 2</x:v>
      </x:c>
      <x:c r="F77" s="1" t="str">
        <x:f>'Requirements'!D13</x:f>
        <x:v>Must</x:v>
      </x:c>
      <x:c r="G77" s="6" t="str">
        <x:v>Yes</x:v>
      </x:c>
      <x:c r="H77" s="6" t="str">
        <x:v>Yes</x:v>
      </x:c>
      <x:c r="I77" s="6" t="str">
        <x:v>Passed</x:v>
      </x:c>
      <x:c r="J77" s="1" t="str">
        <x:f>IF(AND(G77="No",OR(H77="Yes",I77="Passed",I77="Failed")),"Check inputs","OK")</x:f>
        <x:v>OK</x:v>
      </x:c>
    </x:row>
    <x:row r="78" ht="25" customHeight="1">
      <x:c r="A78" s="1" t="str">
        <x:v>US-08-T3</x:v>
      </x:c>
      <x:c r="B78" s="1" t="str">
        <x:v>US-08</x:v>
      </x:c>
      <x:c r="C78" s="1" t="str">
        <x:v>FR-08</x:v>
      </x:c>
      <x:c r="D78" s="1" t="str">
        <x:v>CMP-2</x:v>
      </x:c>
      <x:c r="E78" s="1" t="str">
        <x:v>Session Management check 3</x:v>
      </x:c>
      <x:c r="F78" s="1" t="str">
        <x:f>'Requirements'!D13</x:f>
        <x:v>Must</x:v>
      </x:c>
      <x:c r="G78" s="6" t="str">
        <x:v>Yes</x:v>
      </x:c>
      <x:c r="H78" s="6" t="str">
        <x:v>Yes</x:v>
      </x:c>
      <x:c r="I78" s="6" t="str">
        <x:v>Passed</x:v>
      </x:c>
      <x:c r="J78" s="1" t="str">
        <x:f>IF(AND(G78="No",OR(H78="Yes",I78="Passed",I78="Failed")),"Check inputs","OK")</x:f>
        <x:v>OK</x:v>
      </x:c>
    </x:row>
    <x:row r="79" ht="25" customHeight="1">
      <x:c r="A79" s="1" t="str">
        <x:v>US-08-T4</x:v>
      </x:c>
      <x:c r="B79" s="1" t="str">
        <x:v>US-08</x:v>
      </x:c>
      <x:c r="C79" s="1" t="str">
        <x:v>FR-08</x:v>
      </x:c>
      <x:c r="D79" s="1" t="str">
        <x:v>CMP-2</x:v>
      </x:c>
      <x:c r="E79" s="1" t="str">
        <x:v>Session Management check 4</x:v>
      </x:c>
      <x:c r="F79" s="1" t="str">
        <x:f>'Requirements'!D13</x:f>
        <x:v>Must</x:v>
      </x:c>
      <x:c r="G79" s="6" t="str">
        <x:v>Yes</x:v>
      </x:c>
      <x:c r="H79" s="6" t="str">
        <x:v>Yes</x:v>
      </x:c>
      <x:c r="I79" s="6" t="str">
        <x:v>Passed</x:v>
      </x:c>
      <x:c r="J79" s="1" t="str">
        <x:f>IF(AND(G79="No",OR(H79="Yes",I79="Passed",I79="Failed")),"Check inputs","OK")</x:f>
        <x:v>OK</x:v>
      </x:c>
    </x:row>
    <x:row r="80" ht="25" customHeight="1">
      <x:c r="A80" s="1" t="str">
        <x:v>US-08-T5</x:v>
      </x:c>
      <x:c r="B80" s="1" t="str">
        <x:v>US-08</x:v>
      </x:c>
      <x:c r="C80" s="1" t="str">
        <x:v>FR-08</x:v>
      </x:c>
      <x:c r="D80" s="1" t="str">
        <x:v>CMP-2</x:v>
      </x:c>
      <x:c r="E80" s="1" t="str">
        <x:v>Session Management check 5</x:v>
      </x:c>
      <x:c r="F80" s="1" t="str">
        <x:f>'Requirements'!D13</x:f>
        <x:v>Must</x:v>
      </x:c>
      <x:c r="G80" s="6" t="str">
        <x:v>Yes</x:v>
      </x:c>
      <x:c r="H80" s="6" t="str">
        <x:v>Yes</x:v>
      </x:c>
      <x:c r="I80" s="6" t="str">
        <x:v>Passed</x:v>
      </x:c>
      <x:c r="J80" s="1" t="str">
        <x:f>IF(AND(G80="No",OR(H80="Yes",I80="Passed",I80="Failed")),"Check inputs","OK")</x:f>
        <x:v>OK</x:v>
      </x:c>
    </x:row>
    <x:row r="81" ht="25" customHeight="1">
      <x:c r="A81" s="1" t="str">
        <x:v>US-08-T6</x:v>
      </x:c>
      <x:c r="B81" s="1" t="str">
        <x:v>US-08</x:v>
      </x:c>
      <x:c r="C81" s="1" t="str">
        <x:v>FR-08</x:v>
      </x:c>
      <x:c r="D81" s="1" t="str">
        <x:v>CMP-2</x:v>
      </x:c>
      <x:c r="E81" s="1" t="str">
        <x:v>Session Management check 6</x:v>
      </x:c>
      <x:c r="F81" s="1" t="str">
        <x:f>'Requirements'!D13</x:f>
        <x:v>Must</x:v>
      </x:c>
      <x:c r="G81" s="6" t="str">
        <x:v>Yes</x:v>
      </x:c>
      <x:c r="H81" s="6" t="str">
        <x:v>Yes</x:v>
      </x:c>
      <x:c r="I81" s="6" t="str">
        <x:v>Passed</x:v>
      </x:c>
      <x:c r="J81" s="1" t="str">
        <x:f>IF(AND(G81="No",OR(H81="Yes",I81="Passed",I81="Failed")),"Check inputs","OK")</x:f>
        <x:v>OK</x:v>
      </x:c>
    </x:row>
    <x:row r="82" ht="25" customHeight="1">
      <x:c r="A82" s="1" t="str">
        <x:v>US-08-T7</x:v>
      </x:c>
      <x:c r="B82" s="1" t="str">
        <x:v>US-08</x:v>
      </x:c>
      <x:c r="C82" s="1" t="str">
        <x:v>FR-08</x:v>
      </x:c>
      <x:c r="D82" s="1" t="str">
        <x:v>CMP-2</x:v>
      </x:c>
      <x:c r="E82" s="1" t="str">
        <x:v>Session Management check 7</x:v>
      </x:c>
      <x:c r="F82" s="1" t="str">
        <x:f>'Requirements'!D13</x:f>
        <x:v>Must</x:v>
      </x:c>
      <x:c r="G82" s="6" t="str">
        <x:v>Yes</x:v>
      </x:c>
      <x:c r="H82" s="6" t="str">
        <x:v>Yes</x:v>
      </x:c>
      <x:c r="I82" s="6" t="str">
        <x:v>Passed</x:v>
      </x:c>
      <x:c r="J82" s="1" t="str">
        <x:f>IF(AND(G82="No",OR(H82="Yes",I82="Passed",I82="Failed")),"Check inputs","OK")</x:f>
        <x:v>OK</x:v>
      </x:c>
    </x:row>
    <x:row r="83" ht="25" customHeight="1">
      <x:c r="A83" s="1" t="str">
        <x:v>US-08-T8</x:v>
      </x:c>
      <x:c r="B83" s="1" t="str">
        <x:v>US-08</x:v>
      </x:c>
      <x:c r="C83" s="1" t="str">
        <x:v>FR-08</x:v>
      </x:c>
      <x:c r="D83" s="1" t="str">
        <x:v>CMP-2</x:v>
      </x:c>
      <x:c r="E83" s="1" t="str">
        <x:v>Session Management check 8</x:v>
      </x:c>
      <x:c r="F83" s="1" t="str">
        <x:f>'Requirements'!D13</x:f>
        <x:v>Must</x:v>
      </x:c>
      <x:c r="G83" s="6" t="str">
        <x:v>Yes</x:v>
      </x:c>
      <x:c r="H83" s="6" t="str">
        <x:v>Yes</x:v>
      </x:c>
      <x:c r="I83" s="6" t="str">
        <x:v>Passed</x:v>
      </x:c>
      <x:c r="J83" s="1" t="str">
        <x:f>IF(AND(G83="No",OR(H83="Yes",I83="Passed",I83="Failed")),"Check inputs","OK")</x:f>
        <x:v>OK</x:v>
      </x:c>
    </x:row>
    <x:row r="84" ht="25" customHeight="1">
      <x:c r="A84" s="1" t="str">
        <x:v>US-08-T9</x:v>
      </x:c>
      <x:c r="B84" s="1" t="str">
        <x:v>US-08</x:v>
      </x:c>
      <x:c r="C84" s="1" t="str">
        <x:v>FR-08</x:v>
      </x:c>
      <x:c r="D84" s="1" t="str">
        <x:v>CMP-2</x:v>
      </x:c>
      <x:c r="E84" s="1" t="str">
        <x:v>Session Management check 9</x:v>
      </x:c>
      <x:c r="F84" s="1" t="str">
        <x:f>'Requirements'!D13</x:f>
        <x:v>Must</x:v>
      </x:c>
      <x:c r="G84" s="6" t="str">
        <x:v>Yes</x:v>
      </x:c>
      <x:c r="H84" s="6" t="str">
        <x:v>Yes</x:v>
      </x:c>
      <x:c r="I84" s="6" t="str">
        <x:v>Passed</x:v>
      </x:c>
      <x:c r="J84" s="1" t="str">
        <x:f>IF(AND(G84="No",OR(H84="Yes",I84="Passed",I84="Failed")),"Check inputs","OK")</x:f>
        <x:v>OK</x:v>
      </x:c>
    </x:row>
    <x:row r="85" ht="25" customHeight="1">
      <x:c r="A85" s="1" t="str">
        <x:v>US-08-T10</x:v>
      </x:c>
      <x:c r="B85" s="1" t="str">
        <x:v>US-08</x:v>
      </x:c>
      <x:c r="C85" s="1" t="str">
        <x:v>FR-08</x:v>
      </x:c>
      <x:c r="D85" s="1" t="str">
        <x:v>CMP-2</x:v>
      </x:c>
      <x:c r="E85" s="1" t="str">
        <x:v>Session Management check 10</x:v>
      </x:c>
      <x:c r="F85" s="1" t="str">
        <x:f>'Requirements'!D13</x:f>
        <x:v>Must</x:v>
      </x:c>
      <x:c r="G85" s="6" t="str">
        <x:v>Yes</x:v>
      </x:c>
      <x:c r="H85" s="6" t="str">
        <x:v>Yes</x:v>
      </x:c>
      <x:c r="I85" s="6" t="str">
        <x:v>Passed</x:v>
      </x:c>
      <x:c r="J85" s="1" t="str">
        <x:f>IF(AND(G85="No",OR(H85="Yes",I85="Passed",I85="Failed")),"Check inputs","OK")</x:f>
        <x:v>OK</x:v>
      </x:c>
    </x:row>
    <x:row r="86" ht="25" customHeight="1">
      <x:c r="A86" s="1" t="str">
        <x:v>US-09-T1</x:v>
      </x:c>
      <x:c r="B86" s="1" t="str">
        <x:v>US-09</x:v>
      </x:c>
      <x:c r="C86" s="1" t="str">
        <x:v>FR-09</x:v>
      </x:c>
      <x:c r="D86" s="1" t="str">
        <x:v>CMP-2</x:v>
      </x:c>
      <x:c r="E86" s="1" t="str">
        <x:v>Session Management check 1</x:v>
      </x:c>
      <x:c r="F86" s="1" t="str">
        <x:f>'Requirements'!D14</x:f>
        <x:v>Must</x:v>
      </x:c>
      <x:c r="G86" s="6" t="str">
        <x:v>Yes</x:v>
      </x:c>
      <x:c r="H86" s="6" t="str">
        <x:v>Yes</x:v>
      </x:c>
      <x:c r="I86" s="6" t="str">
        <x:v>Passed</x:v>
      </x:c>
      <x:c r="J86" s="1" t="str">
        <x:f>IF(AND(G86="No",OR(H86="Yes",I86="Passed",I86="Failed")),"Check inputs","OK")</x:f>
        <x:v>OK</x:v>
      </x:c>
    </x:row>
    <x:row r="87" ht="25" customHeight="1">
      <x:c r="A87" s="1" t="str">
        <x:v>US-09-T2</x:v>
      </x:c>
      <x:c r="B87" s="1" t="str">
        <x:v>US-09</x:v>
      </x:c>
      <x:c r="C87" s="1" t="str">
        <x:v>FR-09</x:v>
      </x:c>
      <x:c r="D87" s="1" t="str">
        <x:v>CMP-2</x:v>
      </x:c>
      <x:c r="E87" s="1" t="str">
        <x:v>Session Management check 2</x:v>
      </x:c>
      <x:c r="F87" s="1" t="str">
        <x:f>'Requirements'!D14</x:f>
        <x:v>Must</x:v>
      </x:c>
      <x:c r="G87" s="6" t="str">
        <x:v>Yes</x:v>
      </x:c>
      <x:c r="H87" s="6" t="str">
        <x:v>Yes</x:v>
      </x:c>
      <x:c r="I87" s="6" t="str">
        <x:v>Passed</x:v>
      </x:c>
      <x:c r="J87" s="1" t="str">
        <x:f>IF(AND(G87="No",OR(H87="Yes",I87="Passed",I87="Failed")),"Check inputs","OK")</x:f>
        <x:v>OK</x:v>
      </x:c>
    </x:row>
    <x:row r="88" ht="25" customHeight="1">
      <x:c r="A88" s="1" t="str">
        <x:v>US-09-T3</x:v>
      </x:c>
      <x:c r="B88" s="1" t="str">
        <x:v>US-09</x:v>
      </x:c>
      <x:c r="C88" s="1" t="str">
        <x:v>FR-09</x:v>
      </x:c>
      <x:c r="D88" s="1" t="str">
        <x:v>CMP-2</x:v>
      </x:c>
      <x:c r="E88" s="1" t="str">
        <x:v>Session Management check 3</x:v>
      </x:c>
      <x:c r="F88" s="1" t="str">
        <x:f>'Requirements'!D14</x:f>
        <x:v>Must</x:v>
      </x:c>
      <x:c r="G88" s="6" t="str">
        <x:v>Yes</x:v>
      </x:c>
      <x:c r="H88" s="6" t="str">
        <x:v>Yes</x:v>
      </x:c>
      <x:c r="I88" s="6" t="str">
        <x:v>Passed</x:v>
      </x:c>
      <x:c r="J88" s="1" t="str">
        <x:f>IF(AND(G88="No",OR(H88="Yes",I88="Passed",I88="Failed")),"Check inputs","OK")</x:f>
        <x:v>OK</x:v>
      </x:c>
    </x:row>
    <x:row r="89" ht="25" customHeight="1">
      <x:c r="A89" s="1" t="str">
        <x:v>US-09-T4</x:v>
      </x:c>
      <x:c r="B89" s="1" t="str">
        <x:v>US-09</x:v>
      </x:c>
      <x:c r="C89" s="1" t="str">
        <x:v>FR-09</x:v>
      </x:c>
      <x:c r="D89" s="1" t="str">
        <x:v>CMP-2</x:v>
      </x:c>
      <x:c r="E89" s="1" t="str">
        <x:v>Session Management check 4</x:v>
      </x:c>
      <x:c r="F89" s="1" t="str">
        <x:f>'Requirements'!D14</x:f>
        <x:v>Must</x:v>
      </x:c>
      <x:c r="G89" s="6" t="str">
        <x:v>Yes</x:v>
      </x:c>
      <x:c r="H89" s="6" t="str">
        <x:v>Yes</x:v>
      </x:c>
      <x:c r="I89" s="6" t="str">
        <x:v>Passed</x:v>
      </x:c>
      <x:c r="J89" s="1" t="str">
        <x:f>IF(AND(G89="No",OR(H89="Yes",I89="Passed",I89="Failed")),"Check inputs","OK")</x:f>
        <x:v>OK</x:v>
      </x:c>
    </x:row>
    <x:row r="90" ht="25" customHeight="1">
      <x:c r="A90" s="1" t="str">
        <x:v>US-09-T5</x:v>
      </x:c>
      <x:c r="B90" s="1" t="str">
        <x:v>US-09</x:v>
      </x:c>
      <x:c r="C90" s="1" t="str">
        <x:v>FR-09</x:v>
      </x:c>
      <x:c r="D90" s="1" t="str">
        <x:v>CMP-2</x:v>
      </x:c>
      <x:c r="E90" s="1" t="str">
        <x:v>Session Management check 5</x:v>
      </x:c>
      <x:c r="F90" s="1" t="str">
        <x:f>'Requirements'!D14</x:f>
        <x:v>Must</x:v>
      </x:c>
      <x:c r="G90" s="6" t="str">
        <x:v>Yes</x:v>
      </x:c>
      <x:c r="H90" s="6" t="str">
        <x:v>Yes</x:v>
      </x:c>
      <x:c r="I90" s="6" t="str">
        <x:v>Passed</x:v>
      </x:c>
      <x:c r="J90" s="1" t="str">
        <x:f>IF(AND(G90="No",OR(H90="Yes",I90="Passed",I90="Failed")),"Check inputs","OK")</x:f>
        <x:v>OK</x:v>
      </x:c>
    </x:row>
    <x:row r="91" ht="25" customHeight="1">
      <x:c r="A91" s="1" t="str">
        <x:v>US-09-T6</x:v>
      </x:c>
      <x:c r="B91" s="1" t="str">
        <x:v>US-09</x:v>
      </x:c>
      <x:c r="C91" s="1" t="str">
        <x:v>FR-09</x:v>
      </x:c>
      <x:c r="D91" s="1" t="str">
        <x:v>CMP-2</x:v>
      </x:c>
      <x:c r="E91" s="1" t="str">
        <x:v>Session Management check 6</x:v>
      </x:c>
      <x:c r="F91" s="1" t="str">
        <x:f>'Requirements'!D14</x:f>
        <x:v>Must</x:v>
      </x:c>
      <x:c r="G91" s="6" t="str">
        <x:v>Yes</x:v>
      </x:c>
      <x:c r="H91" s="6" t="str">
        <x:v>Yes</x:v>
      </x:c>
      <x:c r="I91" s="6" t="str">
        <x:v>Passed</x:v>
      </x:c>
      <x:c r="J91" s="1" t="str">
        <x:f>IF(AND(G91="No",OR(H91="Yes",I91="Passed",I91="Failed")),"Check inputs","OK")</x:f>
        <x:v>OK</x:v>
      </x:c>
    </x:row>
    <x:row r="92" ht="25" customHeight="1">
      <x:c r="A92" s="1" t="str">
        <x:v>US-09-T7</x:v>
      </x:c>
      <x:c r="B92" s="1" t="str">
        <x:v>US-09</x:v>
      </x:c>
      <x:c r="C92" s="1" t="str">
        <x:v>FR-09</x:v>
      </x:c>
      <x:c r="D92" s="1" t="str">
        <x:v>CMP-2</x:v>
      </x:c>
      <x:c r="E92" s="1" t="str">
        <x:v>Session Management check 7</x:v>
      </x:c>
      <x:c r="F92" s="1" t="str">
        <x:f>'Requirements'!D14</x:f>
        <x:v>Must</x:v>
      </x:c>
      <x:c r="G92" s="6" t="str">
        <x:v>Yes</x:v>
      </x:c>
      <x:c r="H92" s="6" t="str">
        <x:v>Yes</x:v>
      </x:c>
      <x:c r="I92" s="6" t="str">
        <x:v>Passed</x:v>
      </x:c>
      <x:c r="J92" s="1" t="str">
        <x:f>IF(AND(G92="No",OR(H92="Yes",I92="Passed",I92="Failed")),"Check inputs","OK")</x:f>
        <x:v>OK</x:v>
      </x:c>
    </x:row>
    <x:row r="93" ht="25" customHeight="1">
      <x:c r="A93" s="1" t="str">
        <x:v>US-09-T8</x:v>
      </x:c>
      <x:c r="B93" s="1" t="str">
        <x:v>US-09</x:v>
      </x:c>
      <x:c r="C93" s="1" t="str">
        <x:v>FR-09</x:v>
      </x:c>
      <x:c r="D93" s="1" t="str">
        <x:v>CMP-2</x:v>
      </x:c>
      <x:c r="E93" s="1" t="str">
        <x:v>Session Management check 8</x:v>
      </x:c>
      <x:c r="F93" s="1" t="str">
        <x:f>'Requirements'!D14</x:f>
        <x:v>Must</x:v>
      </x:c>
      <x:c r="G93" s="6" t="str">
        <x:v>Yes</x:v>
      </x:c>
      <x:c r="H93" s="6" t="str">
        <x:v>Yes</x:v>
      </x:c>
      <x:c r="I93" s="6" t="str">
        <x:v>Passed</x:v>
      </x:c>
      <x:c r="J93" s="1" t="str">
        <x:f>IF(AND(G93="No",OR(H93="Yes",I93="Passed",I93="Failed")),"Check inputs","OK")</x:f>
        <x:v>OK</x:v>
      </x:c>
    </x:row>
    <x:row r="94" ht="25" customHeight="1">
      <x:c r="A94" s="1" t="str">
        <x:v>US-09-T9</x:v>
      </x:c>
      <x:c r="B94" s="1" t="str">
        <x:v>US-09</x:v>
      </x:c>
      <x:c r="C94" s="1" t="str">
        <x:v>FR-09</x:v>
      </x:c>
      <x:c r="D94" s="1" t="str">
        <x:v>CMP-2</x:v>
      </x:c>
      <x:c r="E94" s="1" t="str">
        <x:v>Session Management check 9</x:v>
      </x:c>
      <x:c r="F94" s="1" t="str">
        <x:f>'Requirements'!D14</x:f>
        <x:v>Must</x:v>
      </x:c>
      <x:c r="G94" s="6" t="str">
        <x:v>Yes</x:v>
      </x:c>
      <x:c r="H94" s="6" t="str">
        <x:v>Yes</x:v>
      </x:c>
      <x:c r="I94" s="6" t="str">
        <x:v>Passed</x:v>
      </x:c>
      <x:c r="J94" s="1" t="str">
        <x:f>IF(AND(G94="No",OR(H94="Yes",I94="Passed",I94="Failed")),"Check inputs","OK")</x:f>
        <x:v>OK</x:v>
      </x:c>
    </x:row>
    <x:row r="95" ht="25" customHeight="1">
      <x:c r="A95" s="1" t="str">
        <x:v>US-09-T10</x:v>
      </x:c>
      <x:c r="B95" s="1" t="str">
        <x:v>US-09</x:v>
      </x:c>
      <x:c r="C95" s="1" t="str">
        <x:v>FR-09</x:v>
      </x:c>
      <x:c r="D95" s="1" t="str">
        <x:v>CMP-2</x:v>
      </x:c>
      <x:c r="E95" s="1" t="str">
        <x:v>Session Management check 10</x:v>
      </x:c>
      <x:c r="F95" s="1" t="str">
        <x:f>'Requirements'!D14</x:f>
        <x:v>Must</x:v>
      </x:c>
      <x:c r="G95" s="6" t="str">
        <x:v>Yes</x:v>
      </x:c>
      <x:c r="H95" s="6" t="str">
        <x:v>Yes</x:v>
      </x:c>
      <x:c r="I95" s="6" t="str">
        <x:v>Passed</x:v>
      </x:c>
      <x:c r="J95" s="1" t="str">
        <x:f>IF(AND(G95="No",OR(H95="Yes",I95="Passed",I95="Failed")),"Check inputs","OK")</x:f>
        <x:v>OK</x:v>
      </x:c>
    </x:row>
    <x:row r="96" ht="25" customHeight="1">
      <x:c r="A96" s="1" t="str">
        <x:v>US-10-T1</x:v>
      </x:c>
      <x:c r="B96" s="1" t="str">
        <x:v>US-10</x:v>
      </x:c>
      <x:c r="C96" s="1" t="str">
        <x:v>FR-10</x:v>
      </x:c>
      <x:c r="D96" s="1" t="str">
        <x:v>CMP-2</x:v>
      </x:c>
      <x:c r="E96" s="1" t="str">
        <x:v>Session Management check 1</x:v>
      </x:c>
      <x:c r="F96" s="1" t="str">
        <x:f>'Requirements'!D15</x:f>
        <x:v>Should</x:v>
      </x:c>
      <x:c r="G96" s="6" t="str">
        <x:v>Yes</x:v>
      </x:c>
      <x:c r="H96" s="6" t="str">
        <x:v>No</x:v>
      </x:c>
      <x:c r="I96" s="6" t="str">
        <x:v>Passed</x:v>
      </x:c>
      <x:c r="J96" s="1" t="str">
        <x:f>IF(AND(G96="No",OR(H96="Yes",I96="Passed",I96="Failed")),"Check inputs","OK")</x:f>
        <x:v>OK</x:v>
      </x:c>
    </x:row>
    <x:row r="97" ht="25" customHeight="1">
      <x:c r="A97" s="1" t="str">
        <x:v>US-10-T2</x:v>
      </x:c>
      <x:c r="B97" s="1" t="str">
        <x:v>US-10</x:v>
      </x:c>
      <x:c r="C97" s="1" t="str">
        <x:v>FR-10</x:v>
      </x:c>
      <x:c r="D97" s="1" t="str">
        <x:v>CMP-2</x:v>
      </x:c>
      <x:c r="E97" s="1" t="str">
        <x:v>Session Management check 2</x:v>
      </x:c>
      <x:c r="F97" s="1" t="str">
        <x:f>'Requirements'!D15</x:f>
        <x:v>Should</x:v>
      </x:c>
      <x:c r="G97" s="6" t="str">
        <x:v>Yes</x:v>
      </x:c>
      <x:c r="H97" s="6" t="str">
        <x:v>No</x:v>
      </x:c>
      <x:c r="I97" s="6" t="str">
        <x:v>Passed</x:v>
      </x:c>
      <x:c r="J97" s="1" t="str">
        <x:f>IF(AND(G97="No",OR(H97="Yes",I97="Passed",I97="Failed")),"Check inputs","OK")</x:f>
        <x:v>OK</x:v>
      </x:c>
    </x:row>
    <x:row r="98" ht="25" customHeight="1">
      <x:c r="A98" s="1" t="str">
        <x:v>US-10-T3</x:v>
      </x:c>
      <x:c r="B98" s="1" t="str">
        <x:v>US-10</x:v>
      </x:c>
      <x:c r="C98" s="1" t="str">
        <x:v>FR-10</x:v>
      </x:c>
      <x:c r="D98" s="1" t="str">
        <x:v>CMP-2</x:v>
      </x:c>
      <x:c r="E98" s="1" t="str">
        <x:v>Session Management check 3</x:v>
      </x:c>
      <x:c r="F98" s="1" t="str">
        <x:f>'Requirements'!D15</x:f>
        <x:v>Should</x:v>
      </x:c>
      <x:c r="G98" s="6" t="str">
        <x:v>Yes</x:v>
      </x:c>
      <x:c r="H98" s="6" t="str">
        <x:v>No</x:v>
      </x:c>
      <x:c r="I98" s="6" t="str">
        <x:v>Passed</x:v>
      </x:c>
      <x:c r="J98" s="1" t="str">
        <x:f>IF(AND(G98="No",OR(H98="Yes",I98="Passed",I98="Failed")),"Check inputs","OK")</x:f>
        <x:v>OK</x:v>
      </x:c>
    </x:row>
    <x:row r="99" ht="25" customHeight="1">
      <x:c r="A99" s="1" t="str">
        <x:v>US-10-T4</x:v>
      </x:c>
      <x:c r="B99" s="1" t="str">
        <x:v>US-10</x:v>
      </x:c>
      <x:c r="C99" s="1" t="str">
        <x:v>FR-10</x:v>
      </x:c>
      <x:c r="D99" s="1" t="str">
        <x:v>CMP-2</x:v>
      </x:c>
      <x:c r="E99" s="1" t="str">
        <x:v>Session Management check 4</x:v>
      </x:c>
      <x:c r="F99" s="1" t="str">
        <x:f>'Requirements'!D15</x:f>
        <x:v>Should</x:v>
      </x:c>
      <x:c r="G99" s="6" t="str">
        <x:v>Yes</x:v>
      </x:c>
      <x:c r="H99" s="6" t="str">
        <x:v>No</x:v>
      </x:c>
      <x:c r="I99" s="6" t="str">
        <x:v>Passed</x:v>
      </x:c>
      <x:c r="J99" s="1" t="str">
        <x:f>IF(AND(G99="No",OR(H99="Yes",I99="Passed",I99="Failed")),"Check inputs","OK")</x:f>
        <x:v>OK</x:v>
      </x:c>
    </x:row>
    <x:row r="100" ht="25" customHeight="1">
      <x:c r="A100" s="1" t="str">
        <x:v>US-10-T5</x:v>
      </x:c>
      <x:c r="B100" s="1" t="str">
        <x:v>US-10</x:v>
      </x:c>
      <x:c r="C100" s="1" t="str">
        <x:v>FR-10</x:v>
      </x:c>
      <x:c r="D100" s="1" t="str">
        <x:v>CMP-2</x:v>
      </x:c>
      <x:c r="E100" s="1" t="str">
        <x:v>Session Management check 5</x:v>
      </x:c>
      <x:c r="F100" s="1" t="str">
        <x:f>'Requirements'!D15</x:f>
        <x:v>Should</x:v>
      </x:c>
      <x:c r="G100" s="6" t="str">
        <x:v>Yes</x:v>
      </x:c>
      <x:c r="H100" s="6" t="str">
        <x:v>No</x:v>
      </x:c>
      <x:c r="I100" s="6" t="str">
        <x:v>Passed</x:v>
      </x:c>
      <x:c r="J100" s="1" t="str">
        <x:f>IF(AND(G100="No",OR(H100="Yes",I100="Passed",I100="Failed")),"Check inputs","OK")</x:f>
        <x:v>OK</x:v>
      </x:c>
    </x:row>
    <x:row r="101" ht="25" customHeight="1">
      <x:c r="A101" s="1" t="str">
        <x:v>US-10-T6</x:v>
      </x:c>
      <x:c r="B101" s="1" t="str">
        <x:v>US-10</x:v>
      </x:c>
      <x:c r="C101" s="1" t="str">
        <x:v>FR-10</x:v>
      </x:c>
      <x:c r="D101" s="1" t="str">
        <x:v>CMP-2</x:v>
      </x:c>
      <x:c r="E101" s="1" t="str">
        <x:v>Session Management check 6</x:v>
      </x:c>
      <x:c r="F101" s="1" t="str">
        <x:f>'Requirements'!D15</x:f>
        <x:v>Should</x:v>
      </x:c>
      <x:c r="G101" s="6" t="str">
        <x:v>Yes</x:v>
      </x:c>
      <x:c r="H101" s="6" t="str">
        <x:v>No</x:v>
      </x:c>
      <x:c r="I101" s="6" t="str">
        <x:v>Passed</x:v>
      </x:c>
      <x:c r="J101" s="1" t="str">
        <x:f>IF(AND(G101="No",OR(H101="Yes",I101="Passed",I101="Failed")),"Check inputs","OK")</x:f>
        <x:v>OK</x:v>
      </x:c>
    </x:row>
    <x:row r="102" ht="25" customHeight="1">
      <x:c r="A102" s="1" t="str">
        <x:v>US-10-T7</x:v>
      </x:c>
      <x:c r="B102" s="1" t="str">
        <x:v>US-10</x:v>
      </x:c>
      <x:c r="C102" s="1" t="str">
        <x:v>FR-10</x:v>
      </x:c>
      <x:c r="D102" s="1" t="str">
        <x:v>CMP-2</x:v>
      </x:c>
      <x:c r="E102" s="1" t="str">
        <x:v>Session Management check 7</x:v>
      </x:c>
      <x:c r="F102" s="1" t="str">
        <x:f>'Requirements'!D15</x:f>
        <x:v>Should</x:v>
      </x:c>
      <x:c r="G102" s="6" t="str">
        <x:v>Yes</x:v>
      </x:c>
      <x:c r="H102" s="6" t="str">
        <x:v>No</x:v>
      </x:c>
      <x:c r="I102" s="6" t="str">
        <x:v>Passed</x:v>
      </x:c>
      <x:c r="J102" s="1" t="str">
        <x:f>IF(AND(G102="No",OR(H102="Yes",I102="Passed",I102="Failed")),"Check inputs","OK")</x:f>
        <x:v>OK</x:v>
      </x:c>
    </x:row>
    <x:row r="103" ht="25" customHeight="1">
      <x:c r="A103" s="1" t="str">
        <x:v>US-10-T8</x:v>
      </x:c>
      <x:c r="B103" s="1" t="str">
        <x:v>US-10</x:v>
      </x:c>
      <x:c r="C103" s="1" t="str">
        <x:v>FR-10</x:v>
      </x:c>
      <x:c r="D103" s="1" t="str">
        <x:v>CMP-2</x:v>
      </x:c>
      <x:c r="E103" s="1" t="str">
        <x:v>Session Management check 8</x:v>
      </x:c>
      <x:c r="F103" s="1" t="str">
        <x:f>'Requirements'!D15</x:f>
        <x:v>Should</x:v>
      </x:c>
      <x:c r="G103" s="6" t="str">
        <x:v>Yes</x:v>
      </x:c>
      <x:c r="H103" s="6" t="str">
        <x:v>No</x:v>
      </x:c>
      <x:c r="I103" s="6" t="str">
        <x:v>Passed</x:v>
      </x:c>
      <x:c r="J103" s="1" t="str">
        <x:f>IF(AND(G103="No",OR(H103="Yes",I103="Passed",I103="Failed")),"Check inputs","OK")</x:f>
        <x:v>OK</x:v>
      </x:c>
    </x:row>
    <x:row r="104" ht="25" customHeight="1">
      <x:c r="A104" s="1" t="str">
        <x:v>US-10-T9</x:v>
      </x:c>
      <x:c r="B104" s="1" t="str">
        <x:v>US-10</x:v>
      </x:c>
      <x:c r="C104" s="1" t="str">
        <x:v>FR-10</x:v>
      </x:c>
      <x:c r="D104" s="1" t="str">
        <x:v>CMP-2</x:v>
      </x:c>
      <x:c r="E104" s="1" t="str">
        <x:v>Session Management check 9</x:v>
      </x:c>
      <x:c r="F104" s="1" t="str">
        <x:f>'Requirements'!D15</x:f>
        <x:v>Should</x:v>
      </x:c>
      <x:c r="G104" s="6" t="str">
        <x:v>Yes</x:v>
      </x:c>
      <x:c r="H104" s="6" t="str">
        <x:v>No</x:v>
      </x:c>
      <x:c r="I104" s="6" t="str">
        <x:v>Passed</x:v>
      </x:c>
      <x:c r="J104" s="1" t="str">
        <x:f>IF(AND(G104="No",OR(H104="Yes",I104="Passed",I104="Failed")),"Check inputs","OK")</x:f>
        <x:v>OK</x:v>
      </x:c>
    </x:row>
    <x:row r="105" ht="25" customHeight="1">
      <x:c r="A105" s="1" t="str">
        <x:v>US-10-T10</x:v>
      </x:c>
      <x:c r="B105" s="1" t="str">
        <x:v>US-10</x:v>
      </x:c>
      <x:c r="C105" s="1" t="str">
        <x:v>FR-10</x:v>
      </x:c>
      <x:c r="D105" s="1" t="str">
        <x:v>CMP-2</x:v>
      </x:c>
      <x:c r="E105" s="1" t="str">
        <x:v>Session Management check 10</x:v>
      </x:c>
      <x:c r="F105" s="1" t="str">
        <x:f>'Requirements'!D15</x:f>
        <x:v>Should</x:v>
      </x:c>
      <x:c r="G105" s="6" t="str">
        <x:v>Yes</x:v>
      </x:c>
      <x:c r="H105" s="6" t="str">
        <x:v>No</x:v>
      </x:c>
      <x:c r="I105" s="6" t="str">
        <x:v>Passed</x:v>
      </x:c>
      <x:c r="J105" s="1" t="str">
        <x:f>IF(AND(G105="No",OR(H105="Yes",I105="Passed",I105="Failed")),"Check inputs","OK")</x:f>
        <x:v>OK</x:v>
      </x:c>
    </x:row>
    <x:row r="106" ht="25" customHeight="1">
      <x:c r="A106" s="1" t="str">
        <x:v>US-11-T1</x:v>
      </x:c>
      <x:c r="B106" s="1" t="str">
        <x:v>US-11</x:v>
      </x:c>
      <x:c r="C106" s="1" t="str">
        <x:v>FR-11</x:v>
      </x:c>
      <x:c r="D106" s="1" t="str">
        <x:v>CMP-3</x:v>
      </x:c>
      <x:c r="E106" s="1" t="str">
        <x:v>Mobility check 1</x:v>
      </x:c>
      <x:c r="F106" s="1" t="str">
        <x:f>'Requirements'!D16</x:f>
        <x:v>Must</x:v>
      </x:c>
      <x:c r="G106" s="6" t="str">
        <x:v>Yes</x:v>
      </x:c>
      <x:c r="H106" s="6" t="str">
        <x:v>Yes</x:v>
      </x:c>
      <x:c r="I106" s="6" t="str">
        <x:v>Passed</x:v>
      </x:c>
      <x:c r="J106" s="1" t="str">
        <x:f>IF(AND(G106="No",OR(H106="Yes",I106="Passed",I106="Failed")),"Check inputs","OK")</x:f>
        <x:v>OK</x:v>
      </x:c>
    </x:row>
    <x:row r="107" ht="25" customHeight="1">
      <x:c r="A107" s="1" t="str">
        <x:v>US-11-T2</x:v>
      </x:c>
      <x:c r="B107" s="1" t="str">
        <x:v>US-11</x:v>
      </x:c>
      <x:c r="C107" s="1" t="str">
        <x:v>FR-11</x:v>
      </x:c>
      <x:c r="D107" s="1" t="str">
        <x:v>CMP-3</x:v>
      </x:c>
      <x:c r="E107" s="1" t="str">
        <x:v>Mobility check 2</x:v>
      </x:c>
      <x:c r="F107" s="1" t="str">
        <x:f>'Requirements'!D16</x:f>
        <x:v>Must</x:v>
      </x:c>
      <x:c r="G107" s="6" t="str">
        <x:v>Yes</x:v>
      </x:c>
      <x:c r="H107" s="6" t="str">
        <x:v>Yes</x:v>
      </x:c>
      <x:c r="I107" s="6" t="str">
        <x:v>Passed</x:v>
      </x:c>
      <x:c r="J107" s="1" t="str">
        <x:f>IF(AND(G107="No",OR(H107="Yes",I107="Passed",I107="Failed")),"Check inputs","OK")</x:f>
        <x:v>OK</x:v>
      </x:c>
    </x:row>
    <x:row r="108" ht="25" customHeight="1">
      <x:c r="A108" s="1" t="str">
        <x:v>US-11-T3</x:v>
      </x:c>
      <x:c r="B108" s="1" t="str">
        <x:v>US-11</x:v>
      </x:c>
      <x:c r="C108" s="1" t="str">
        <x:v>FR-11</x:v>
      </x:c>
      <x:c r="D108" s="1" t="str">
        <x:v>CMP-3</x:v>
      </x:c>
      <x:c r="E108" s="1" t="str">
        <x:v>Mobility check 3</x:v>
      </x:c>
      <x:c r="F108" s="1" t="str">
        <x:f>'Requirements'!D16</x:f>
        <x:v>Must</x:v>
      </x:c>
      <x:c r="G108" s="6" t="str">
        <x:v>Yes</x:v>
      </x:c>
      <x:c r="H108" s="6" t="str">
        <x:v>Yes</x:v>
      </x:c>
      <x:c r="I108" s="6" t="str">
        <x:v>Passed</x:v>
      </x:c>
      <x:c r="J108" s="1" t="str">
        <x:f>IF(AND(G108="No",OR(H108="Yes",I108="Passed",I108="Failed")),"Check inputs","OK")</x:f>
        <x:v>OK</x:v>
      </x:c>
    </x:row>
    <x:row r="109" ht="25" customHeight="1">
      <x:c r="A109" s="1" t="str">
        <x:v>US-11-T4</x:v>
      </x:c>
      <x:c r="B109" s="1" t="str">
        <x:v>US-11</x:v>
      </x:c>
      <x:c r="C109" s="1" t="str">
        <x:v>FR-11</x:v>
      </x:c>
      <x:c r="D109" s="1" t="str">
        <x:v>CMP-3</x:v>
      </x:c>
      <x:c r="E109" s="1" t="str">
        <x:v>Mobility check 4</x:v>
      </x:c>
      <x:c r="F109" s="1" t="str">
        <x:f>'Requirements'!D16</x:f>
        <x:v>Must</x:v>
      </x:c>
      <x:c r="G109" s="6" t="str">
        <x:v>Yes</x:v>
      </x:c>
      <x:c r="H109" s="6" t="str">
        <x:v>Yes</x:v>
      </x:c>
      <x:c r="I109" s="6" t="str">
        <x:v>Passed</x:v>
      </x:c>
      <x:c r="J109" s="1" t="str">
        <x:f>IF(AND(G109="No",OR(H109="Yes",I109="Passed",I109="Failed")),"Check inputs","OK")</x:f>
        <x:v>OK</x:v>
      </x:c>
    </x:row>
    <x:row r="110" ht="25" customHeight="1">
      <x:c r="A110" s="1" t="str">
        <x:v>US-11-T5</x:v>
      </x:c>
      <x:c r="B110" s="1" t="str">
        <x:v>US-11</x:v>
      </x:c>
      <x:c r="C110" s="1" t="str">
        <x:v>FR-11</x:v>
      </x:c>
      <x:c r="D110" s="1" t="str">
        <x:v>CMP-3</x:v>
      </x:c>
      <x:c r="E110" s="1" t="str">
        <x:v>Mobility check 5</x:v>
      </x:c>
      <x:c r="F110" s="1" t="str">
        <x:f>'Requirements'!D16</x:f>
        <x:v>Must</x:v>
      </x:c>
      <x:c r="G110" s="6" t="str">
        <x:v>Yes</x:v>
      </x:c>
      <x:c r="H110" s="6" t="str">
        <x:v>Yes</x:v>
      </x:c>
      <x:c r="I110" s="6" t="str">
        <x:v>Passed</x:v>
      </x:c>
      <x:c r="J110" s="1" t="str">
        <x:f>IF(AND(G110="No",OR(H110="Yes",I110="Passed",I110="Failed")),"Check inputs","OK")</x:f>
        <x:v>OK</x:v>
      </x:c>
    </x:row>
    <x:row r="111" ht="25" customHeight="1">
      <x:c r="A111" s="1" t="str">
        <x:v>US-11-T6</x:v>
      </x:c>
      <x:c r="B111" s="1" t="str">
        <x:v>US-11</x:v>
      </x:c>
      <x:c r="C111" s="1" t="str">
        <x:v>FR-11</x:v>
      </x:c>
      <x:c r="D111" s="1" t="str">
        <x:v>CMP-3</x:v>
      </x:c>
      <x:c r="E111" s="1" t="str">
        <x:v>Mobility check 6</x:v>
      </x:c>
      <x:c r="F111" s="1" t="str">
        <x:f>'Requirements'!D16</x:f>
        <x:v>Must</x:v>
      </x:c>
      <x:c r="G111" s="6" t="str">
        <x:v>Yes</x:v>
      </x:c>
      <x:c r="H111" s="6" t="str">
        <x:v>Yes</x:v>
      </x:c>
      <x:c r="I111" s="6" t="str">
        <x:v>Passed</x:v>
      </x:c>
      <x:c r="J111" s="1" t="str">
        <x:f>IF(AND(G111="No",OR(H111="Yes",I111="Passed",I111="Failed")),"Check inputs","OK")</x:f>
        <x:v>OK</x:v>
      </x:c>
    </x:row>
    <x:row r="112" ht="25" customHeight="1">
      <x:c r="A112" s="1" t="str">
        <x:v>US-11-T7</x:v>
      </x:c>
      <x:c r="B112" s="1" t="str">
        <x:v>US-11</x:v>
      </x:c>
      <x:c r="C112" s="1" t="str">
        <x:v>FR-11</x:v>
      </x:c>
      <x:c r="D112" s="1" t="str">
        <x:v>CMP-3</x:v>
      </x:c>
      <x:c r="E112" s="1" t="str">
        <x:v>Mobility check 7</x:v>
      </x:c>
      <x:c r="F112" s="1" t="str">
        <x:f>'Requirements'!D16</x:f>
        <x:v>Must</x:v>
      </x:c>
      <x:c r="G112" s="6" t="str">
        <x:v>Yes</x:v>
      </x:c>
      <x:c r="H112" s="6" t="str">
        <x:v>Yes</x:v>
      </x:c>
      <x:c r="I112" s="6" t="str">
        <x:v>Passed</x:v>
      </x:c>
      <x:c r="J112" s="1" t="str">
        <x:f>IF(AND(G112="No",OR(H112="Yes",I112="Passed",I112="Failed")),"Check inputs","OK")</x:f>
        <x:v>OK</x:v>
      </x:c>
    </x:row>
    <x:row r="113" ht="25" customHeight="1">
      <x:c r="A113" s="1" t="str">
        <x:v>US-11-T8</x:v>
      </x:c>
      <x:c r="B113" s="1" t="str">
        <x:v>US-11</x:v>
      </x:c>
      <x:c r="C113" s="1" t="str">
        <x:v>FR-11</x:v>
      </x:c>
      <x:c r="D113" s="1" t="str">
        <x:v>CMP-3</x:v>
      </x:c>
      <x:c r="E113" s="1" t="str">
        <x:v>Mobility check 8</x:v>
      </x:c>
      <x:c r="F113" s="1" t="str">
        <x:f>'Requirements'!D16</x:f>
        <x:v>Must</x:v>
      </x:c>
      <x:c r="G113" s="6" t="str">
        <x:v>Yes</x:v>
      </x:c>
      <x:c r="H113" s="6" t="str">
        <x:v>Yes</x:v>
      </x:c>
      <x:c r="I113" s="6" t="str">
        <x:v>Passed</x:v>
      </x:c>
      <x:c r="J113" s="1" t="str">
        <x:f>IF(AND(G113="No",OR(H113="Yes",I113="Passed",I113="Failed")),"Check inputs","OK")</x:f>
        <x:v>OK</x:v>
      </x:c>
    </x:row>
    <x:row r="114" ht="25" customHeight="1">
      <x:c r="A114" s="1" t="str">
        <x:v>US-11-T9</x:v>
      </x:c>
      <x:c r="B114" s="1" t="str">
        <x:v>US-11</x:v>
      </x:c>
      <x:c r="C114" s="1" t="str">
        <x:v>FR-11</x:v>
      </x:c>
      <x:c r="D114" s="1" t="str">
        <x:v>CMP-3</x:v>
      </x:c>
      <x:c r="E114" s="1" t="str">
        <x:v>Mobility check 9</x:v>
      </x:c>
      <x:c r="F114" s="1" t="str">
        <x:f>'Requirements'!D16</x:f>
        <x:v>Must</x:v>
      </x:c>
      <x:c r="G114" s="6" t="str">
        <x:v>Yes</x:v>
      </x:c>
      <x:c r="H114" s="6" t="str">
        <x:v>Yes</x:v>
      </x:c>
      <x:c r="I114" s="6" t="str">
        <x:v>Passed</x:v>
      </x:c>
      <x:c r="J114" s="1" t="str">
        <x:f>IF(AND(G114="No",OR(H114="Yes",I114="Passed",I114="Failed")),"Check inputs","OK")</x:f>
        <x:v>OK</x:v>
      </x:c>
    </x:row>
    <x:row r="115" ht="25" customHeight="1">
      <x:c r="A115" s="1" t="str">
        <x:v>US-11-T10</x:v>
      </x:c>
      <x:c r="B115" s="1" t="str">
        <x:v>US-11</x:v>
      </x:c>
      <x:c r="C115" s="1" t="str">
        <x:v>FR-11</x:v>
      </x:c>
      <x:c r="D115" s="1" t="str">
        <x:v>CMP-3</x:v>
      </x:c>
      <x:c r="E115" s="1" t="str">
        <x:v>Mobility check 10</x:v>
      </x:c>
      <x:c r="F115" s="1" t="str">
        <x:f>'Requirements'!D16</x:f>
        <x:v>Must</x:v>
      </x:c>
      <x:c r="G115" s="6" t="str">
        <x:v>Yes</x:v>
      </x:c>
      <x:c r="H115" s="6" t="str">
        <x:v>Yes</x:v>
      </x:c>
      <x:c r="I115" s="6" t="str">
        <x:v>Passed</x:v>
      </x:c>
      <x:c r="J115" s="1" t="str">
        <x:f>IF(AND(G115="No",OR(H115="Yes",I115="Passed",I115="Failed")),"Check inputs","OK")</x:f>
        <x:v>OK</x:v>
      </x:c>
    </x:row>
    <x:row r="116" ht="25" customHeight="1">
      <x:c r="A116" s="1" t="str">
        <x:v>US-12-T1</x:v>
      </x:c>
      <x:c r="B116" s="1" t="str">
        <x:v>US-12</x:v>
      </x:c>
      <x:c r="C116" s="1" t="str">
        <x:v>FR-12</x:v>
      </x:c>
      <x:c r="D116" s="1" t="str">
        <x:v>CMP-3</x:v>
      </x:c>
      <x:c r="E116" s="1" t="str">
        <x:v>Mobility check 1</x:v>
      </x:c>
      <x:c r="F116" s="1" t="str">
        <x:f>'Requirements'!D17</x:f>
        <x:v>Must</x:v>
      </x:c>
      <x:c r="G116" s="6" t="str">
        <x:v>Yes</x:v>
      </x:c>
      <x:c r="H116" s="6" t="str">
        <x:v>Yes</x:v>
      </x:c>
      <x:c r="I116" s="6" t="str">
        <x:v>Passed</x:v>
      </x:c>
      <x:c r="J116" s="1" t="str">
        <x:f>IF(AND(G116="No",OR(H116="Yes",I116="Passed",I116="Failed")),"Check inputs","OK")</x:f>
        <x:v>OK</x:v>
      </x:c>
    </x:row>
    <x:row r="117" ht="25" customHeight="1">
      <x:c r="A117" s="1" t="str">
        <x:v>US-12-T2</x:v>
      </x:c>
      <x:c r="B117" s="1" t="str">
        <x:v>US-12</x:v>
      </x:c>
      <x:c r="C117" s="1" t="str">
        <x:v>FR-12</x:v>
      </x:c>
      <x:c r="D117" s="1" t="str">
        <x:v>CMP-3</x:v>
      </x:c>
      <x:c r="E117" s="1" t="str">
        <x:v>Mobility check 2</x:v>
      </x:c>
      <x:c r="F117" s="1" t="str">
        <x:f>'Requirements'!D17</x:f>
        <x:v>Must</x:v>
      </x:c>
      <x:c r="G117" s="6" t="str">
        <x:v>Yes</x:v>
      </x:c>
      <x:c r="H117" s="6" t="str">
        <x:v>Yes</x:v>
      </x:c>
      <x:c r="I117" s="6" t="str">
        <x:v>Passed</x:v>
      </x:c>
      <x:c r="J117" s="1" t="str">
        <x:f>IF(AND(G117="No",OR(H117="Yes",I117="Passed",I117="Failed")),"Check inputs","OK")</x:f>
        <x:v>OK</x:v>
      </x:c>
    </x:row>
    <x:row r="118" ht="25" customHeight="1">
      <x:c r="A118" s="1" t="str">
        <x:v>US-12-T3</x:v>
      </x:c>
      <x:c r="B118" s="1" t="str">
        <x:v>US-12</x:v>
      </x:c>
      <x:c r="C118" s="1" t="str">
        <x:v>FR-12</x:v>
      </x:c>
      <x:c r="D118" s="1" t="str">
        <x:v>CMP-3</x:v>
      </x:c>
      <x:c r="E118" s="1" t="str">
        <x:v>Mobility check 3</x:v>
      </x:c>
      <x:c r="F118" s="1" t="str">
        <x:f>'Requirements'!D17</x:f>
        <x:v>Must</x:v>
      </x:c>
      <x:c r="G118" s="6" t="str">
        <x:v>Yes</x:v>
      </x:c>
      <x:c r="H118" s="6" t="str">
        <x:v>Yes</x:v>
      </x:c>
      <x:c r="I118" s="6" t="str">
        <x:v>Passed</x:v>
      </x:c>
      <x:c r="J118" s="1" t="str">
        <x:f>IF(AND(G118="No",OR(H118="Yes",I118="Passed",I118="Failed")),"Check inputs","OK")</x:f>
        <x:v>OK</x:v>
      </x:c>
    </x:row>
    <x:row r="119" ht="25" customHeight="1">
      <x:c r="A119" s="1" t="str">
        <x:v>US-12-T4</x:v>
      </x:c>
      <x:c r="B119" s="1" t="str">
        <x:v>US-12</x:v>
      </x:c>
      <x:c r="C119" s="1" t="str">
        <x:v>FR-12</x:v>
      </x:c>
      <x:c r="D119" s="1" t="str">
        <x:v>CMP-3</x:v>
      </x:c>
      <x:c r="E119" s="1" t="str">
        <x:v>Mobility check 4</x:v>
      </x:c>
      <x:c r="F119" s="1" t="str">
        <x:f>'Requirements'!D17</x:f>
        <x:v>Must</x:v>
      </x:c>
      <x:c r="G119" s="6" t="str">
        <x:v>Yes</x:v>
      </x:c>
      <x:c r="H119" s="6" t="str">
        <x:v>Yes</x:v>
      </x:c>
      <x:c r="I119" s="6" t="str">
        <x:v>Passed</x:v>
      </x:c>
      <x:c r="J119" s="1" t="str">
        <x:f>IF(AND(G119="No",OR(H119="Yes",I119="Passed",I119="Failed")),"Check inputs","OK")</x:f>
        <x:v>OK</x:v>
      </x:c>
    </x:row>
    <x:row r="120" ht="25" customHeight="1">
      <x:c r="A120" s="1" t="str">
        <x:v>US-12-T5</x:v>
      </x:c>
      <x:c r="B120" s="1" t="str">
        <x:v>US-12</x:v>
      </x:c>
      <x:c r="C120" s="1" t="str">
        <x:v>FR-12</x:v>
      </x:c>
      <x:c r="D120" s="1" t="str">
        <x:v>CMP-3</x:v>
      </x:c>
      <x:c r="E120" s="1" t="str">
        <x:v>Mobility check 5</x:v>
      </x:c>
      <x:c r="F120" s="1" t="str">
        <x:f>'Requirements'!D17</x:f>
        <x:v>Must</x:v>
      </x:c>
      <x:c r="G120" s="6" t="str">
        <x:v>Yes</x:v>
      </x:c>
      <x:c r="H120" s="6" t="str">
        <x:v>Yes</x:v>
      </x:c>
      <x:c r="I120" s="6" t="str">
        <x:v>Passed</x:v>
      </x:c>
      <x:c r="J120" s="1" t="str">
        <x:f>IF(AND(G120="No",OR(H120="Yes",I120="Passed",I120="Failed")),"Check inputs","OK")</x:f>
        <x:v>OK</x:v>
      </x:c>
    </x:row>
    <x:row r="121" ht="25" customHeight="1">
      <x:c r="A121" s="1" t="str">
        <x:v>US-12-T6</x:v>
      </x:c>
      <x:c r="B121" s="1" t="str">
        <x:v>US-12</x:v>
      </x:c>
      <x:c r="C121" s="1" t="str">
        <x:v>FR-12</x:v>
      </x:c>
      <x:c r="D121" s="1" t="str">
        <x:v>CMP-3</x:v>
      </x:c>
      <x:c r="E121" s="1" t="str">
        <x:v>Mobility check 6</x:v>
      </x:c>
      <x:c r="F121" s="1" t="str">
        <x:f>'Requirements'!D17</x:f>
        <x:v>Must</x:v>
      </x:c>
      <x:c r="G121" s="6" t="str">
        <x:v>Yes</x:v>
      </x:c>
      <x:c r="H121" s="6" t="str">
        <x:v>Yes</x:v>
      </x:c>
      <x:c r="I121" s="6" t="str">
        <x:v>Passed</x:v>
      </x:c>
      <x:c r="J121" s="1" t="str">
        <x:f>IF(AND(G121="No",OR(H121="Yes",I121="Passed",I121="Failed")),"Check inputs","OK")</x:f>
        <x:v>OK</x:v>
      </x:c>
    </x:row>
    <x:row r="122" ht="25" customHeight="1">
      <x:c r="A122" s="1" t="str">
        <x:v>US-12-T7</x:v>
      </x:c>
      <x:c r="B122" s="1" t="str">
        <x:v>US-12</x:v>
      </x:c>
      <x:c r="C122" s="1" t="str">
        <x:v>FR-12</x:v>
      </x:c>
      <x:c r="D122" s="1" t="str">
        <x:v>CMP-3</x:v>
      </x:c>
      <x:c r="E122" s="1" t="str">
        <x:v>Mobility check 7</x:v>
      </x:c>
      <x:c r="F122" s="1" t="str">
        <x:f>'Requirements'!D17</x:f>
        <x:v>Must</x:v>
      </x:c>
      <x:c r="G122" s="6" t="str">
        <x:v>Yes</x:v>
      </x:c>
      <x:c r="H122" s="6" t="str">
        <x:v>Yes</x:v>
      </x:c>
      <x:c r="I122" s="6" t="str">
        <x:v>Passed</x:v>
      </x:c>
      <x:c r="J122" s="1" t="str">
        <x:f>IF(AND(G122="No",OR(H122="Yes",I122="Passed",I122="Failed")),"Check inputs","OK")</x:f>
        <x:v>OK</x:v>
      </x:c>
    </x:row>
    <x:row r="123" ht="25" customHeight="1">
      <x:c r="A123" s="1" t="str">
        <x:v>US-12-T8</x:v>
      </x:c>
      <x:c r="B123" s="1" t="str">
        <x:v>US-12</x:v>
      </x:c>
      <x:c r="C123" s="1" t="str">
        <x:v>FR-12</x:v>
      </x:c>
      <x:c r="D123" s="1" t="str">
        <x:v>CMP-3</x:v>
      </x:c>
      <x:c r="E123" s="1" t="str">
        <x:v>Mobility check 8</x:v>
      </x:c>
      <x:c r="F123" s="1" t="str">
        <x:f>'Requirements'!D17</x:f>
        <x:v>Must</x:v>
      </x:c>
      <x:c r="G123" s="6" t="str">
        <x:v>Yes</x:v>
      </x:c>
      <x:c r="H123" s="6" t="str">
        <x:v>Yes</x:v>
      </x:c>
      <x:c r="I123" s="6" t="str">
        <x:v>Passed</x:v>
      </x:c>
      <x:c r="J123" s="1" t="str">
        <x:f>IF(AND(G123="No",OR(H123="Yes",I123="Passed",I123="Failed")),"Check inputs","OK")</x:f>
        <x:v>OK</x:v>
      </x:c>
    </x:row>
    <x:row r="124" ht="25" customHeight="1">
      <x:c r="A124" s="1" t="str">
        <x:v>US-12-T9</x:v>
      </x:c>
      <x:c r="B124" s="1" t="str">
        <x:v>US-12</x:v>
      </x:c>
      <x:c r="C124" s="1" t="str">
        <x:v>FR-12</x:v>
      </x:c>
      <x:c r="D124" s="1" t="str">
        <x:v>CMP-3</x:v>
      </x:c>
      <x:c r="E124" s="1" t="str">
        <x:v>Mobility check 9</x:v>
      </x:c>
      <x:c r="F124" s="1" t="str">
        <x:f>'Requirements'!D17</x:f>
        <x:v>Must</x:v>
      </x:c>
      <x:c r="G124" s="6" t="str">
        <x:v>Yes</x:v>
      </x:c>
      <x:c r="H124" s="6" t="str">
        <x:v>Yes</x:v>
      </x:c>
      <x:c r="I124" s="6" t="str">
        <x:v>Passed</x:v>
      </x:c>
      <x:c r="J124" s="1" t="str">
        <x:f>IF(AND(G124="No",OR(H124="Yes",I124="Passed",I124="Failed")),"Check inputs","OK")</x:f>
        <x:v>OK</x:v>
      </x:c>
    </x:row>
    <x:row r="125" ht="25" customHeight="1">
      <x:c r="A125" s="1" t="str">
        <x:v>US-12-T10</x:v>
      </x:c>
      <x:c r="B125" s="1" t="str">
        <x:v>US-12</x:v>
      </x:c>
      <x:c r="C125" s="1" t="str">
        <x:v>FR-12</x:v>
      </x:c>
      <x:c r="D125" s="1" t="str">
        <x:v>CMP-3</x:v>
      </x:c>
      <x:c r="E125" s="1" t="str">
        <x:v>Mobility check 10</x:v>
      </x:c>
      <x:c r="F125" s="1" t="str">
        <x:f>'Requirements'!D17</x:f>
        <x:v>Must</x:v>
      </x:c>
      <x:c r="G125" s="6" t="str">
        <x:v>Yes</x:v>
      </x:c>
      <x:c r="H125" s="6" t="str">
        <x:v>Yes</x:v>
      </x:c>
      <x:c r="I125" s="6" t="str">
        <x:v>Passed</x:v>
      </x:c>
      <x:c r="J125" s="1" t="str">
        <x:f>IF(AND(G125="No",OR(H125="Yes",I125="Passed",I125="Failed")),"Check inputs","OK")</x:f>
        <x:v>OK</x:v>
      </x:c>
    </x:row>
    <x:row r="126" ht="25" customHeight="1">
      <x:c r="A126" s="1" t="str">
        <x:v>US-13-T1</x:v>
      </x:c>
      <x:c r="B126" s="1" t="str">
        <x:v>US-13</x:v>
      </x:c>
      <x:c r="C126" s="1" t="str">
        <x:v>FR-13</x:v>
      </x:c>
      <x:c r="D126" s="1" t="str">
        <x:v>CMP-3</x:v>
      </x:c>
      <x:c r="E126" s="1" t="str">
        <x:v>Mobility check 1</x:v>
      </x:c>
      <x:c r="F126" s="1" t="str">
        <x:f>'Requirements'!D18</x:f>
        <x:v>Must</x:v>
      </x:c>
      <x:c r="G126" s="6" t="str">
        <x:v>Yes</x:v>
      </x:c>
      <x:c r="H126" s="6" t="str">
        <x:v>Yes</x:v>
      </x:c>
      <x:c r="I126" s="6" t="str">
        <x:v>Passed</x:v>
      </x:c>
      <x:c r="J126" s="1" t="str">
        <x:f>IF(AND(G126="No",OR(H126="Yes",I126="Passed",I126="Failed")),"Check inputs","OK")</x:f>
        <x:v>OK</x:v>
      </x:c>
    </x:row>
    <x:row r="127" ht="25" customHeight="1">
      <x:c r="A127" s="1" t="str">
        <x:v>US-13-T2</x:v>
      </x:c>
      <x:c r="B127" s="1" t="str">
        <x:v>US-13</x:v>
      </x:c>
      <x:c r="C127" s="1" t="str">
        <x:v>FR-13</x:v>
      </x:c>
      <x:c r="D127" s="1" t="str">
        <x:v>CMP-3</x:v>
      </x:c>
      <x:c r="E127" s="1" t="str">
        <x:v>Mobility check 2</x:v>
      </x:c>
      <x:c r="F127" s="1" t="str">
        <x:f>'Requirements'!D18</x:f>
        <x:v>Must</x:v>
      </x:c>
      <x:c r="G127" s="6" t="str">
        <x:v>Yes</x:v>
      </x:c>
      <x:c r="H127" s="6" t="str">
        <x:v>Yes</x:v>
      </x:c>
      <x:c r="I127" s="6" t="str">
        <x:v>Passed</x:v>
      </x:c>
      <x:c r="J127" s="1" t="str">
        <x:f>IF(AND(G127="No",OR(H127="Yes",I127="Passed",I127="Failed")),"Check inputs","OK")</x:f>
        <x:v>OK</x:v>
      </x:c>
    </x:row>
    <x:row r="128" ht="25" customHeight="1">
      <x:c r="A128" s="1" t="str">
        <x:v>US-13-T3</x:v>
      </x:c>
      <x:c r="B128" s="1" t="str">
        <x:v>US-13</x:v>
      </x:c>
      <x:c r="C128" s="1" t="str">
        <x:v>FR-13</x:v>
      </x:c>
      <x:c r="D128" s="1" t="str">
        <x:v>CMP-3</x:v>
      </x:c>
      <x:c r="E128" s="1" t="str">
        <x:v>Mobility check 3</x:v>
      </x:c>
      <x:c r="F128" s="1" t="str">
        <x:f>'Requirements'!D18</x:f>
        <x:v>Must</x:v>
      </x:c>
      <x:c r="G128" s="6" t="str">
        <x:v>Yes</x:v>
      </x:c>
      <x:c r="H128" s="6" t="str">
        <x:v>Yes</x:v>
      </x:c>
      <x:c r="I128" s="6" t="str">
        <x:v>Passed</x:v>
      </x:c>
      <x:c r="J128" s="1" t="str">
        <x:f>IF(AND(G128="No",OR(H128="Yes",I128="Passed",I128="Failed")),"Check inputs","OK")</x:f>
        <x:v>OK</x:v>
      </x:c>
    </x:row>
    <x:row r="129" ht="25" customHeight="1">
      <x:c r="A129" s="1" t="str">
        <x:v>US-13-T4</x:v>
      </x:c>
      <x:c r="B129" s="1" t="str">
        <x:v>US-13</x:v>
      </x:c>
      <x:c r="C129" s="1" t="str">
        <x:v>FR-13</x:v>
      </x:c>
      <x:c r="D129" s="1" t="str">
        <x:v>CMP-3</x:v>
      </x:c>
      <x:c r="E129" s="1" t="str">
        <x:v>Mobility check 4</x:v>
      </x:c>
      <x:c r="F129" s="1" t="str">
        <x:f>'Requirements'!D18</x:f>
        <x:v>Must</x:v>
      </x:c>
      <x:c r="G129" s="6" t="str">
        <x:v>Yes</x:v>
      </x:c>
      <x:c r="H129" s="6" t="str">
        <x:v>Yes</x:v>
      </x:c>
      <x:c r="I129" s="6" t="str">
        <x:v>Passed</x:v>
      </x:c>
      <x:c r="J129" s="1" t="str">
        <x:f>IF(AND(G129="No",OR(H129="Yes",I129="Passed",I129="Failed")),"Check inputs","OK")</x:f>
        <x:v>OK</x:v>
      </x:c>
    </x:row>
    <x:row r="130" ht="25" customHeight="1">
      <x:c r="A130" s="1" t="str">
        <x:v>US-13-T5</x:v>
      </x:c>
      <x:c r="B130" s="1" t="str">
        <x:v>US-13</x:v>
      </x:c>
      <x:c r="C130" s="1" t="str">
        <x:v>FR-13</x:v>
      </x:c>
      <x:c r="D130" s="1" t="str">
        <x:v>CMP-3</x:v>
      </x:c>
      <x:c r="E130" s="1" t="str">
        <x:v>Mobility check 5</x:v>
      </x:c>
      <x:c r="F130" s="1" t="str">
        <x:f>'Requirements'!D18</x:f>
        <x:v>Must</x:v>
      </x:c>
      <x:c r="G130" s="6" t="str">
        <x:v>Yes</x:v>
      </x:c>
      <x:c r="H130" s="6" t="str">
        <x:v>Yes</x:v>
      </x:c>
      <x:c r="I130" s="6" t="str">
        <x:v>Passed</x:v>
      </x:c>
      <x:c r="J130" s="1" t="str">
        <x:f>IF(AND(G130="No",OR(H130="Yes",I130="Passed",I130="Failed")),"Check inputs","OK")</x:f>
        <x:v>OK</x:v>
      </x:c>
    </x:row>
    <x:row r="131" ht="25" customHeight="1">
      <x:c r="A131" s="1" t="str">
        <x:v>US-13-T6</x:v>
      </x:c>
      <x:c r="B131" s="1" t="str">
        <x:v>US-13</x:v>
      </x:c>
      <x:c r="C131" s="1" t="str">
        <x:v>FR-13</x:v>
      </x:c>
      <x:c r="D131" s="1" t="str">
        <x:v>CMP-3</x:v>
      </x:c>
      <x:c r="E131" s="1" t="str">
        <x:v>Mobility check 6</x:v>
      </x:c>
      <x:c r="F131" s="1" t="str">
        <x:f>'Requirements'!D18</x:f>
        <x:v>Must</x:v>
      </x:c>
      <x:c r="G131" s="6" t="str">
        <x:v>Yes</x:v>
      </x:c>
      <x:c r="H131" s="6" t="str">
        <x:v>Yes</x:v>
      </x:c>
      <x:c r="I131" s="6" t="str">
        <x:v>Passed</x:v>
      </x:c>
      <x:c r="J131" s="1" t="str">
        <x:f>IF(AND(G131="No",OR(H131="Yes",I131="Passed",I131="Failed")),"Check inputs","OK")</x:f>
        <x:v>OK</x:v>
      </x:c>
    </x:row>
    <x:row r="132" ht="25" customHeight="1">
      <x:c r="A132" s="1" t="str">
        <x:v>US-13-T7</x:v>
      </x:c>
      <x:c r="B132" s="1" t="str">
        <x:v>US-13</x:v>
      </x:c>
      <x:c r="C132" s="1" t="str">
        <x:v>FR-13</x:v>
      </x:c>
      <x:c r="D132" s="1" t="str">
        <x:v>CMP-3</x:v>
      </x:c>
      <x:c r="E132" s="1" t="str">
        <x:v>Mobility check 7</x:v>
      </x:c>
      <x:c r="F132" s="1" t="str">
        <x:f>'Requirements'!D18</x:f>
        <x:v>Must</x:v>
      </x:c>
      <x:c r="G132" s="6" t="str">
        <x:v>Yes</x:v>
      </x:c>
      <x:c r="H132" s="6" t="str">
        <x:v>Yes</x:v>
      </x:c>
      <x:c r="I132" s="6" t="str">
        <x:v>Passed</x:v>
      </x:c>
      <x:c r="J132" s="1" t="str">
        <x:f>IF(AND(G132="No",OR(H132="Yes",I132="Passed",I132="Failed")),"Check inputs","OK")</x:f>
        <x:v>OK</x:v>
      </x:c>
    </x:row>
    <x:row r="133" ht="25" customHeight="1">
      <x:c r="A133" s="1" t="str">
        <x:v>US-13-T8</x:v>
      </x:c>
      <x:c r="B133" s="1" t="str">
        <x:v>US-13</x:v>
      </x:c>
      <x:c r="C133" s="1" t="str">
        <x:v>FR-13</x:v>
      </x:c>
      <x:c r="D133" s="1" t="str">
        <x:v>CMP-3</x:v>
      </x:c>
      <x:c r="E133" s="1" t="str">
        <x:v>Mobility check 8</x:v>
      </x:c>
      <x:c r="F133" s="1" t="str">
        <x:f>'Requirements'!D18</x:f>
        <x:v>Must</x:v>
      </x:c>
      <x:c r="G133" s="6" t="str">
        <x:v>Yes</x:v>
      </x:c>
      <x:c r="H133" s="6" t="str">
        <x:v>Yes</x:v>
      </x:c>
      <x:c r="I133" s="6" t="str">
        <x:v>Passed</x:v>
      </x:c>
      <x:c r="J133" s="1" t="str">
        <x:f>IF(AND(G133="No",OR(H133="Yes",I133="Passed",I133="Failed")),"Check inputs","OK")</x:f>
        <x:v>OK</x:v>
      </x:c>
    </x:row>
    <x:row r="134" ht="25" customHeight="1">
      <x:c r="A134" s="1" t="str">
        <x:v>US-13-T9</x:v>
      </x:c>
      <x:c r="B134" s="1" t="str">
        <x:v>US-13</x:v>
      </x:c>
      <x:c r="C134" s="1" t="str">
        <x:v>FR-13</x:v>
      </x:c>
      <x:c r="D134" s="1" t="str">
        <x:v>CMP-3</x:v>
      </x:c>
      <x:c r="E134" s="1" t="str">
        <x:v>Mobility check 9</x:v>
      </x:c>
      <x:c r="F134" s="1" t="str">
        <x:f>'Requirements'!D18</x:f>
        <x:v>Must</x:v>
      </x:c>
      <x:c r="G134" s="6" t="str">
        <x:v>Yes</x:v>
      </x:c>
      <x:c r="H134" s="6" t="str">
        <x:v>Yes</x:v>
      </x:c>
      <x:c r="I134" s="6" t="str">
        <x:v>Passed</x:v>
      </x:c>
      <x:c r="J134" s="1" t="str">
        <x:f>IF(AND(G134="No",OR(H134="Yes",I134="Passed",I134="Failed")),"Check inputs","OK")</x:f>
        <x:v>OK</x:v>
      </x:c>
    </x:row>
    <x:row r="135" ht="25" customHeight="1">
      <x:c r="A135" s="1" t="str">
        <x:v>US-13-T10</x:v>
      </x:c>
      <x:c r="B135" s="1" t="str">
        <x:v>US-13</x:v>
      </x:c>
      <x:c r="C135" s="1" t="str">
        <x:v>FR-13</x:v>
      </x:c>
      <x:c r="D135" s="1" t="str">
        <x:v>CMP-3</x:v>
      </x:c>
      <x:c r="E135" s="1" t="str">
        <x:v>Mobility check 10</x:v>
      </x:c>
      <x:c r="F135" s="1" t="str">
        <x:f>'Requirements'!D18</x:f>
        <x:v>Must</x:v>
      </x:c>
      <x:c r="G135" s="6" t="str">
        <x:v>Yes</x:v>
      </x:c>
      <x:c r="H135" s="6" t="str">
        <x:v>Yes</x:v>
      </x:c>
      <x:c r="I135" s="6" t="str">
        <x:v>Passed</x:v>
      </x:c>
      <x:c r="J135" s="1" t="str">
        <x:f>IF(AND(G135="No",OR(H135="Yes",I135="Passed",I135="Failed")),"Check inputs","OK")</x:f>
        <x:v>OK</x:v>
      </x:c>
    </x:row>
    <x:row r="136" ht="25" customHeight="1">
      <x:c r="A136" s="1" t="str">
        <x:v>US-14-T1</x:v>
      </x:c>
      <x:c r="B136" s="1" t="str">
        <x:v>US-14</x:v>
      </x:c>
      <x:c r="C136" s="1" t="str">
        <x:v>FR-14</x:v>
      </x:c>
      <x:c r="D136" s="1" t="str">
        <x:v>CMP-3</x:v>
      </x:c>
      <x:c r="E136" s="1" t="str">
        <x:v>Mobility check 1</x:v>
      </x:c>
      <x:c r="F136" s="1" t="str">
        <x:f>'Requirements'!D19</x:f>
        <x:v>Must</x:v>
      </x:c>
      <x:c r="G136" s="6" t="str">
        <x:v>Yes</x:v>
      </x:c>
      <x:c r="H136" s="6" t="str">
        <x:v>Yes</x:v>
      </x:c>
      <x:c r="I136" s="6" t="str">
        <x:v>Passed</x:v>
      </x:c>
      <x:c r="J136" s="1" t="str">
        <x:f>IF(AND(G136="No",OR(H136="Yes",I136="Passed",I136="Failed")),"Check inputs","OK")</x:f>
        <x:v>OK</x:v>
      </x:c>
    </x:row>
    <x:row r="137" ht="25" customHeight="1">
      <x:c r="A137" s="1" t="str">
        <x:v>US-14-T2</x:v>
      </x:c>
      <x:c r="B137" s="1" t="str">
        <x:v>US-14</x:v>
      </x:c>
      <x:c r="C137" s="1" t="str">
        <x:v>FR-14</x:v>
      </x:c>
      <x:c r="D137" s="1" t="str">
        <x:v>CMP-3</x:v>
      </x:c>
      <x:c r="E137" s="1" t="str">
        <x:v>Mobility check 2</x:v>
      </x:c>
      <x:c r="F137" s="1" t="str">
        <x:f>'Requirements'!D19</x:f>
        <x:v>Must</x:v>
      </x:c>
      <x:c r="G137" s="6" t="str">
        <x:v>Yes</x:v>
      </x:c>
      <x:c r="H137" s="6" t="str">
        <x:v>Yes</x:v>
      </x:c>
      <x:c r="I137" s="6" t="str">
        <x:v>Passed</x:v>
      </x:c>
      <x:c r="J137" s="1" t="str">
        <x:f>IF(AND(G137="No",OR(H137="Yes",I137="Passed",I137="Failed")),"Check inputs","OK")</x:f>
        <x:v>OK</x:v>
      </x:c>
    </x:row>
    <x:row r="138" ht="25" customHeight="1">
      <x:c r="A138" s="1" t="str">
        <x:v>US-14-T3</x:v>
      </x:c>
      <x:c r="B138" s="1" t="str">
        <x:v>US-14</x:v>
      </x:c>
      <x:c r="C138" s="1" t="str">
        <x:v>FR-14</x:v>
      </x:c>
      <x:c r="D138" s="1" t="str">
        <x:v>CMP-3</x:v>
      </x:c>
      <x:c r="E138" s="1" t="str">
        <x:v>Mobility check 3</x:v>
      </x:c>
      <x:c r="F138" s="1" t="str">
        <x:f>'Requirements'!D19</x:f>
        <x:v>Must</x:v>
      </x:c>
      <x:c r="G138" s="6" t="str">
        <x:v>Yes</x:v>
      </x:c>
      <x:c r="H138" s="6" t="str">
        <x:v>Yes</x:v>
      </x:c>
      <x:c r="I138" s="6" t="str">
        <x:v>Passed</x:v>
      </x:c>
      <x:c r="J138" s="1" t="str">
        <x:f>IF(AND(G138="No",OR(H138="Yes",I138="Passed",I138="Failed")),"Check inputs","OK")</x:f>
        <x:v>OK</x:v>
      </x:c>
    </x:row>
    <x:row r="139" ht="25" customHeight="1">
      <x:c r="A139" s="1" t="str">
        <x:v>US-14-T4</x:v>
      </x:c>
      <x:c r="B139" s="1" t="str">
        <x:v>US-14</x:v>
      </x:c>
      <x:c r="C139" s="1" t="str">
        <x:v>FR-14</x:v>
      </x:c>
      <x:c r="D139" s="1" t="str">
        <x:v>CMP-3</x:v>
      </x:c>
      <x:c r="E139" s="1" t="str">
        <x:v>Mobility check 4</x:v>
      </x:c>
      <x:c r="F139" s="1" t="str">
        <x:f>'Requirements'!D19</x:f>
        <x:v>Must</x:v>
      </x:c>
      <x:c r="G139" s="6" t="str">
        <x:v>Yes</x:v>
      </x:c>
      <x:c r="H139" s="6" t="str">
        <x:v>Yes</x:v>
      </x:c>
      <x:c r="I139" s="6" t="str">
        <x:v>Passed</x:v>
      </x:c>
      <x:c r="J139" s="1" t="str">
        <x:f>IF(AND(G139="No",OR(H139="Yes",I139="Passed",I139="Failed")),"Check inputs","OK")</x:f>
        <x:v>OK</x:v>
      </x:c>
    </x:row>
    <x:row r="140" ht="25" customHeight="1">
      <x:c r="A140" s="1" t="str">
        <x:v>US-14-T5</x:v>
      </x:c>
      <x:c r="B140" s="1" t="str">
        <x:v>US-14</x:v>
      </x:c>
      <x:c r="C140" s="1" t="str">
        <x:v>FR-14</x:v>
      </x:c>
      <x:c r="D140" s="1" t="str">
        <x:v>CMP-3</x:v>
      </x:c>
      <x:c r="E140" s="1" t="str">
        <x:v>Mobility check 5</x:v>
      </x:c>
      <x:c r="F140" s="1" t="str">
        <x:f>'Requirements'!D19</x:f>
        <x:v>Must</x:v>
      </x:c>
      <x:c r="G140" s="6" t="str">
        <x:v>Yes</x:v>
      </x:c>
      <x:c r="H140" s="6" t="str">
        <x:v>Yes</x:v>
      </x:c>
      <x:c r="I140" s="6" t="str">
        <x:v>Passed</x:v>
      </x:c>
      <x:c r="J140" s="1" t="str">
        <x:f>IF(AND(G140="No",OR(H140="Yes",I140="Passed",I140="Failed")),"Check inputs","OK")</x:f>
        <x:v>OK</x:v>
      </x:c>
    </x:row>
    <x:row r="141" ht="25" customHeight="1">
      <x:c r="A141" s="1" t="str">
        <x:v>US-14-T6</x:v>
      </x:c>
      <x:c r="B141" s="1" t="str">
        <x:v>US-14</x:v>
      </x:c>
      <x:c r="C141" s="1" t="str">
        <x:v>FR-14</x:v>
      </x:c>
      <x:c r="D141" s="1" t="str">
        <x:v>CMP-3</x:v>
      </x:c>
      <x:c r="E141" s="1" t="str">
        <x:v>Mobility check 6</x:v>
      </x:c>
      <x:c r="F141" s="1" t="str">
        <x:f>'Requirements'!D19</x:f>
        <x:v>Must</x:v>
      </x:c>
      <x:c r="G141" s="6" t="str">
        <x:v>Yes</x:v>
      </x:c>
      <x:c r="H141" s="6" t="str">
        <x:v>Yes</x:v>
      </x:c>
      <x:c r="I141" s="6" t="str">
        <x:v>Passed</x:v>
      </x:c>
      <x:c r="J141" s="1" t="str">
        <x:f>IF(AND(G141="No",OR(H141="Yes",I141="Passed",I141="Failed")),"Check inputs","OK")</x:f>
        <x:v>OK</x:v>
      </x:c>
    </x:row>
    <x:row r="142" ht="25" customHeight="1">
      <x:c r="A142" s="1" t="str">
        <x:v>US-14-T7</x:v>
      </x:c>
      <x:c r="B142" s="1" t="str">
        <x:v>US-14</x:v>
      </x:c>
      <x:c r="C142" s="1" t="str">
        <x:v>FR-14</x:v>
      </x:c>
      <x:c r="D142" s="1" t="str">
        <x:v>CMP-3</x:v>
      </x:c>
      <x:c r="E142" s="1" t="str">
        <x:v>Mobility check 7</x:v>
      </x:c>
      <x:c r="F142" s="1" t="str">
        <x:f>'Requirements'!D19</x:f>
        <x:v>Must</x:v>
      </x:c>
      <x:c r="G142" s="6" t="str">
        <x:v>Yes</x:v>
      </x:c>
      <x:c r="H142" s="6" t="str">
        <x:v>Yes</x:v>
      </x:c>
      <x:c r="I142" s="6" t="str">
        <x:v>Passed</x:v>
      </x:c>
      <x:c r="J142" s="1" t="str">
        <x:f>IF(AND(G142="No",OR(H142="Yes",I142="Passed",I142="Failed")),"Check inputs","OK")</x:f>
        <x:v>OK</x:v>
      </x:c>
    </x:row>
    <x:row r="143" ht="25" customHeight="1">
      <x:c r="A143" s="1" t="str">
        <x:v>US-14-T8</x:v>
      </x:c>
      <x:c r="B143" s="1" t="str">
        <x:v>US-14</x:v>
      </x:c>
      <x:c r="C143" s="1" t="str">
        <x:v>FR-14</x:v>
      </x:c>
      <x:c r="D143" s="1" t="str">
        <x:v>CMP-3</x:v>
      </x:c>
      <x:c r="E143" s="1" t="str">
        <x:v>Mobility check 8</x:v>
      </x:c>
      <x:c r="F143" s="1" t="str">
        <x:f>'Requirements'!D19</x:f>
        <x:v>Must</x:v>
      </x:c>
      <x:c r="G143" s="6" t="str">
        <x:v>Yes</x:v>
      </x:c>
      <x:c r="H143" s="6" t="str">
        <x:v>Yes</x:v>
      </x:c>
      <x:c r="I143" s="6" t="str">
        <x:v>Passed</x:v>
      </x:c>
      <x:c r="J143" s="1" t="str">
        <x:f>IF(AND(G143="No",OR(H143="Yes",I143="Passed",I143="Failed")),"Check inputs","OK")</x:f>
        <x:v>OK</x:v>
      </x:c>
    </x:row>
    <x:row r="144" ht="25" customHeight="1">
      <x:c r="A144" s="1" t="str">
        <x:v>US-14-T9</x:v>
      </x:c>
      <x:c r="B144" s="1" t="str">
        <x:v>US-14</x:v>
      </x:c>
      <x:c r="C144" s="1" t="str">
        <x:v>FR-14</x:v>
      </x:c>
      <x:c r="D144" s="1" t="str">
        <x:v>CMP-3</x:v>
      </x:c>
      <x:c r="E144" s="1" t="str">
        <x:v>Mobility check 9</x:v>
      </x:c>
      <x:c r="F144" s="1" t="str">
        <x:f>'Requirements'!D19</x:f>
        <x:v>Must</x:v>
      </x:c>
      <x:c r="G144" s="6" t="str">
        <x:v>Yes</x:v>
      </x:c>
      <x:c r="H144" s="6" t="str">
        <x:v>Yes</x:v>
      </x:c>
      <x:c r="I144" s="6" t="str">
        <x:v>Passed</x:v>
      </x:c>
      <x:c r="J144" s="1" t="str">
        <x:f>IF(AND(G144="No",OR(H144="Yes",I144="Passed",I144="Failed")),"Check inputs","OK")</x:f>
        <x:v>OK</x:v>
      </x:c>
    </x:row>
    <x:row r="145" ht="25" customHeight="1">
      <x:c r="A145" s="1" t="str">
        <x:v>US-14-T10</x:v>
      </x:c>
      <x:c r="B145" s="1" t="str">
        <x:v>US-14</x:v>
      </x:c>
      <x:c r="C145" s="1" t="str">
        <x:v>FR-14</x:v>
      </x:c>
      <x:c r="D145" s="1" t="str">
        <x:v>CMP-3</x:v>
      </x:c>
      <x:c r="E145" s="1" t="str">
        <x:v>Mobility check 10</x:v>
      </x:c>
      <x:c r="F145" s="1" t="str">
        <x:f>'Requirements'!D19</x:f>
        <x:v>Must</x:v>
      </x:c>
      <x:c r="G145" s="6" t="str">
        <x:v>Yes</x:v>
      </x:c>
      <x:c r="H145" s="6" t="str">
        <x:v>Yes</x:v>
      </x:c>
      <x:c r="I145" s="6" t="str">
        <x:v>Passed</x:v>
      </x:c>
      <x:c r="J145" s="1" t="str">
        <x:f>IF(AND(G145="No",OR(H145="Yes",I145="Passed",I145="Failed")),"Check inputs","OK")</x:f>
        <x:v>OK</x:v>
      </x:c>
    </x:row>
    <x:row r="146" ht="25" customHeight="1">
      <x:c r="A146" s="1" t="str">
        <x:v>US-15-T1</x:v>
      </x:c>
      <x:c r="B146" s="1" t="str">
        <x:v>US-15</x:v>
      </x:c>
      <x:c r="C146" s="1" t="str">
        <x:v>FR-15</x:v>
      </x:c>
      <x:c r="D146" s="1" t="str">
        <x:v>CMP-3</x:v>
      </x:c>
      <x:c r="E146" s="1" t="str">
        <x:v>Mobility check 1</x:v>
      </x:c>
      <x:c r="F146" s="1" t="str">
        <x:f>'Requirements'!D20</x:f>
        <x:v>Should</x:v>
      </x:c>
      <x:c r="G146" s="6" t="str">
        <x:v>Yes</x:v>
      </x:c>
      <x:c r="H146" s="6" t="str">
        <x:v>No</x:v>
      </x:c>
      <x:c r="I146" s="6" t="str">
        <x:v>Passed</x:v>
      </x:c>
      <x:c r="J146" s="1" t="str">
        <x:f>IF(AND(G146="No",OR(H146="Yes",I146="Passed",I146="Failed")),"Check inputs","OK")</x:f>
        <x:v>OK</x:v>
      </x:c>
    </x:row>
    <x:row r="147" ht="25" customHeight="1">
      <x:c r="A147" s="1" t="str">
        <x:v>US-15-T2</x:v>
      </x:c>
      <x:c r="B147" s="1" t="str">
        <x:v>US-15</x:v>
      </x:c>
      <x:c r="C147" s="1" t="str">
        <x:v>FR-15</x:v>
      </x:c>
      <x:c r="D147" s="1" t="str">
        <x:v>CMP-3</x:v>
      </x:c>
      <x:c r="E147" s="1" t="str">
        <x:v>Mobility check 2</x:v>
      </x:c>
      <x:c r="F147" s="1" t="str">
        <x:f>'Requirements'!D20</x:f>
        <x:v>Should</x:v>
      </x:c>
      <x:c r="G147" s="6" t="str">
        <x:v>Yes</x:v>
      </x:c>
      <x:c r="H147" s="6" t="str">
        <x:v>No</x:v>
      </x:c>
      <x:c r="I147" s="6" t="str">
        <x:v>Passed</x:v>
      </x:c>
      <x:c r="J147" s="1" t="str">
        <x:f>IF(AND(G147="No",OR(H147="Yes",I147="Passed",I147="Failed")),"Check inputs","OK")</x:f>
        <x:v>OK</x:v>
      </x:c>
    </x:row>
    <x:row r="148" ht="25" customHeight="1">
      <x:c r="A148" s="1" t="str">
        <x:v>US-15-T3</x:v>
      </x:c>
      <x:c r="B148" s="1" t="str">
        <x:v>US-15</x:v>
      </x:c>
      <x:c r="C148" s="1" t="str">
        <x:v>FR-15</x:v>
      </x:c>
      <x:c r="D148" s="1" t="str">
        <x:v>CMP-3</x:v>
      </x:c>
      <x:c r="E148" s="1" t="str">
        <x:v>Mobility check 3</x:v>
      </x:c>
      <x:c r="F148" s="1" t="str">
        <x:f>'Requirements'!D20</x:f>
        <x:v>Should</x:v>
      </x:c>
      <x:c r="G148" s="6" t="str">
        <x:v>Yes</x:v>
      </x:c>
      <x:c r="H148" s="6" t="str">
        <x:v>No</x:v>
      </x:c>
      <x:c r="I148" s="6" t="str">
        <x:v>Passed</x:v>
      </x:c>
      <x:c r="J148" s="1" t="str">
        <x:f>IF(AND(G148="No",OR(H148="Yes",I148="Passed",I148="Failed")),"Check inputs","OK")</x:f>
        <x:v>OK</x:v>
      </x:c>
    </x:row>
    <x:row r="149" ht="25" customHeight="1">
      <x:c r="A149" s="1" t="str">
        <x:v>US-15-T4</x:v>
      </x:c>
      <x:c r="B149" s="1" t="str">
        <x:v>US-15</x:v>
      </x:c>
      <x:c r="C149" s="1" t="str">
        <x:v>FR-15</x:v>
      </x:c>
      <x:c r="D149" s="1" t="str">
        <x:v>CMP-3</x:v>
      </x:c>
      <x:c r="E149" s="1" t="str">
        <x:v>Mobility check 4</x:v>
      </x:c>
      <x:c r="F149" s="1" t="str">
        <x:f>'Requirements'!D20</x:f>
        <x:v>Should</x:v>
      </x:c>
      <x:c r="G149" s="6" t="str">
        <x:v>Yes</x:v>
      </x:c>
      <x:c r="H149" s="6" t="str">
        <x:v>No</x:v>
      </x:c>
      <x:c r="I149" s="6" t="str">
        <x:v>Passed</x:v>
      </x:c>
      <x:c r="J149" s="1" t="str">
        <x:f>IF(AND(G149="No",OR(H149="Yes",I149="Passed",I149="Failed")),"Check inputs","OK")</x:f>
        <x:v>OK</x:v>
      </x:c>
    </x:row>
    <x:row r="150" ht="25" customHeight="1">
      <x:c r="A150" s="1" t="str">
        <x:v>US-15-T5</x:v>
      </x:c>
      <x:c r="B150" s="1" t="str">
        <x:v>US-15</x:v>
      </x:c>
      <x:c r="C150" s="1" t="str">
        <x:v>FR-15</x:v>
      </x:c>
      <x:c r="D150" s="1" t="str">
        <x:v>CMP-3</x:v>
      </x:c>
      <x:c r="E150" s="1" t="str">
        <x:v>Mobility check 5</x:v>
      </x:c>
      <x:c r="F150" s="1" t="str">
        <x:f>'Requirements'!D20</x:f>
        <x:v>Should</x:v>
      </x:c>
      <x:c r="G150" s="6" t="str">
        <x:v>Yes</x:v>
      </x:c>
      <x:c r="H150" s="6" t="str">
        <x:v>No</x:v>
      </x:c>
      <x:c r="I150" s="6" t="str">
        <x:v>Passed</x:v>
      </x:c>
      <x:c r="J150" s="1" t="str">
        <x:f>IF(AND(G150="No",OR(H150="Yes",I150="Passed",I150="Failed")),"Check inputs","OK")</x:f>
        <x:v>OK</x:v>
      </x:c>
    </x:row>
    <x:row r="151" ht="25" customHeight="1">
      <x:c r="A151" s="1" t="str">
        <x:v>US-15-T6</x:v>
      </x:c>
      <x:c r="B151" s="1" t="str">
        <x:v>US-15</x:v>
      </x:c>
      <x:c r="C151" s="1" t="str">
        <x:v>FR-15</x:v>
      </x:c>
      <x:c r="D151" s="1" t="str">
        <x:v>CMP-3</x:v>
      </x:c>
      <x:c r="E151" s="1" t="str">
        <x:v>Mobility check 6</x:v>
      </x:c>
      <x:c r="F151" s="1" t="str">
        <x:f>'Requirements'!D20</x:f>
        <x:v>Should</x:v>
      </x:c>
      <x:c r="G151" s="6" t="str">
        <x:v>Yes</x:v>
      </x:c>
      <x:c r="H151" s="6" t="str">
        <x:v>No</x:v>
      </x:c>
      <x:c r="I151" s="6" t="str">
        <x:v>Passed</x:v>
      </x:c>
      <x:c r="J151" s="1" t="str">
        <x:f>IF(AND(G151="No",OR(H151="Yes",I151="Passed",I151="Failed")),"Check inputs","OK")</x:f>
        <x:v>OK</x:v>
      </x:c>
    </x:row>
    <x:row r="152" ht="25" customHeight="1">
      <x:c r="A152" s="1" t="str">
        <x:v>US-15-T7</x:v>
      </x:c>
      <x:c r="B152" s="1" t="str">
        <x:v>US-15</x:v>
      </x:c>
      <x:c r="C152" s="1" t="str">
        <x:v>FR-15</x:v>
      </x:c>
      <x:c r="D152" s="1" t="str">
        <x:v>CMP-3</x:v>
      </x:c>
      <x:c r="E152" s="1" t="str">
        <x:v>Mobility check 7</x:v>
      </x:c>
      <x:c r="F152" s="1" t="str">
        <x:f>'Requirements'!D20</x:f>
        <x:v>Should</x:v>
      </x:c>
      <x:c r="G152" s="6" t="str">
        <x:v>Yes</x:v>
      </x:c>
      <x:c r="H152" s="6" t="str">
        <x:v>No</x:v>
      </x:c>
      <x:c r="I152" s="6" t="str">
        <x:v>Passed</x:v>
      </x:c>
      <x:c r="J152" s="1" t="str">
        <x:f>IF(AND(G152="No",OR(H152="Yes",I152="Passed",I152="Failed")),"Check inputs","OK")</x:f>
        <x:v>OK</x:v>
      </x:c>
    </x:row>
    <x:row r="153" ht="25" customHeight="1">
      <x:c r="A153" s="1" t="str">
        <x:v>US-15-T8</x:v>
      </x:c>
      <x:c r="B153" s="1" t="str">
        <x:v>US-15</x:v>
      </x:c>
      <x:c r="C153" s="1" t="str">
        <x:v>FR-15</x:v>
      </x:c>
      <x:c r="D153" s="1" t="str">
        <x:v>CMP-3</x:v>
      </x:c>
      <x:c r="E153" s="1" t="str">
        <x:v>Mobility check 8</x:v>
      </x:c>
      <x:c r="F153" s="1" t="str">
        <x:f>'Requirements'!D20</x:f>
        <x:v>Should</x:v>
      </x:c>
      <x:c r="G153" s="6" t="str">
        <x:v>Yes</x:v>
      </x:c>
      <x:c r="H153" s="6" t="str">
        <x:v>No</x:v>
      </x:c>
      <x:c r="I153" s="6" t="str">
        <x:v>Passed</x:v>
      </x:c>
      <x:c r="J153" s="1" t="str">
        <x:f>IF(AND(G153="No",OR(H153="Yes",I153="Passed",I153="Failed")),"Check inputs","OK")</x:f>
        <x:v>OK</x:v>
      </x:c>
    </x:row>
    <x:row r="154" ht="25" customHeight="1">
      <x:c r="A154" s="1" t="str">
        <x:v>US-15-T9</x:v>
      </x:c>
      <x:c r="B154" s="1" t="str">
        <x:v>US-15</x:v>
      </x:c>
      <x:c r="C154" s="1" t="str">
        <x:v>FR-15</x:v>
      </x:c>
      <x:c r="D154" s="1" t="str">
        <x:v>CMP-3</x:v>
      </x:c>
      <x:c r="E154" s="1" t="str">
        <x:v>Mobility check 9</x:v>
      </x:c>
      <x:c r="F154" s="1" t="str">
        <x:f>'Requirements'!D20</x:f>
        <x:v>Should</x:v>
      </x:c>
      <x:c r="G154" s="6" t="str">
        <x:v>Yes</x:v>
      </x:c>
      <x:c r="H154" s="6" t="str">
        <x:v>No</x:v>
      </x:c>
      <x:c r="I154" s="6" t="str">
        <x:v>Passed</x:v>
      </x:c>
      <x:c r="J154" s="1" t="str">
        <x:f>IF(AND(G154="No",OR(H154="Yes",I154="Passed",I154="Failed")),"Check inputs","OK")</x:f>
        <x:v>OK</x:v>
      </x:c>
    </x:row>
    <x:row r="155" ht="25" customHeight="1">
      <x:c r="A155" s="1" t="str">
        <x:v>US-15-T10</x:v>
      </x:c>
      <x:c r="B155" s="1" t="str">
        <x:v>US-15</x:v>
      </x:c>
      <x:c r="C155" s="1" t="str">
        <x:v>FR-15</x:v>
      </x:c>
      <x:c r="D155" s="1" t="str">
        <x:v>CMP-3</x:v>
      </x:c>
      <x:c r="E155" s="1" t="str">
        <x:v>Mobility check 10</x:v>
      </x:c>
      <x:c r="F155" s="1" t="str">
        <x:f>'Requirements'!D20</x:f>
        <x:v>Should</x:v>
      </x:c>
      <x:c r="G155" s="6" t="str">
        <x:v>Yes</x:v>
      </x:c>
      <x:c r="H155" s="6" t="str">
        <x:v>No</x:v>
      </x:c>
      <x:c r="I155" s="6" t="str">
        <x:v>Passed</x:v>
      </x:c>
      <x:c r="J155" s="1" t="str">
        <x:f>IF(AND(G155="No",OR(H155="Yes",I155="Passed",I155="Failed")),"Check inputs","OK")</x:f>
        <x:v>OK</x:v>
      </x:c>
    </x:row>
    <x:row r="156" ht="25" customHeight="1">
      <x:c r="A156" s="1" t="str">
        <x:v>US-16-T1</x:v>
      </x:c>
      <x:c r="B156" s="1" t="str">
        <x:v>US-16</x:v>
      </x:c>
      <x:c r="C156" s="1" t="str">
        <x:v>FR-16</x:v>
      </x:c>
      <x:c r="D156" s="1" t="str">
        <x:v>CMP-4</x:v>
      </x:c>
      <x:c r="E156" s="1" t="str">
        <x:v>Paging check 1</x:v>
      </x:c>
      <x:c r="F156" s="1" t="str">
        <x:f>'Requirements'!D21</x:f>
        <x:v>Must</x:v>
      </x:c>
      <x:c r="G156" s="6" t="str">
        <x:v>Yes</x:v>
      </x:c>
      <x:c r="H156" s="6" t="str">
        <x:v>Yes</x:v>
      </x:c>
      <x:c r="I156" s="6" t="str">
        <x:v>Passed</x:v>
      </x:c>
      <x:c r="J156" s="1" t="str">
        <x:f>IF(AND(G156="No",OR(H156="Yes",I156="Passed",I156="Failed")),"Check inputs","OK")</x:f>
        <x:v>OK</x:v>
      </x:c>
    </x:row>
    <x:row r="157" ht="25" customHeight="1">
      <x:c r="A157" s="1" t="str">
        <x:v>US-16-T2</x:v>
      </x:c>
      <x:c r="B157" s="1" t="str">
        <x:v>US-16</x:v>
      </x:c>
      <x:c r="C157" s="1" t="str">
        <x:v>FR-16</x:v>
      </x:c>
      <x:c r="D157" s="1" t="str">
        <x:v>CMP-4</x:v>
      </x:c>
      <x:c r="E157" s="1" t="str">
        <x:v>Paging check 2</x:v>
      </x:c>
      <x:c r="F157" s="1" t="str">
        <x:f>'Requirements'!D21</x:f>
        <x:v>Must</x:v>
      </x:c>
      <x:c r="G157" s="6" t="str">
        <x:v>Yes</x:v>
      </x:c>
      <x:c r="H157" s="6" t="str">
        <x:v>Yes</x:v>
      </x:c>
      <x:c r="I157" s="6" t="str">
        <x:v>Passed</x:v>
      </x:c>
      <x:c r="J157" s="1" t="str">
        <x:f>IF(AND(G157="No",OR(H157="Yes",I157="Passed",I157="Failed")),"Check inputs","OK")</x:f>
        <x:v>OK</x:v>
      </x:c>
    </x:row>
    <x:row r="158" ht="25" customHeight="1">
      <x:c r="A158" s="1" t="str">
        <x:v>US-16-T3</x:v>
      </x:c>
      <x:c r="B158" s="1" t="str">
        <x:v>US-16</x:v>
      </x:c>
      <x:c r="C158" s="1" t="str">
        <x:v>FR-16</x:v>
      </x:c>
      <x:c r="D158" s="1" t="str">
        <x:v>CMP-4</x:v>
      </x:c>
      <x:c r="E158" s="1" t="str">
        <x:v>Paging check 3</x:v>
      </x:c>
      <x:c r="F158" s="1" t="str">
        <x:f>'Requirements'!D21</x:f>
        <x:v>Must</x:v>
      </x:c>
      <x:c r="G158" s="6" t="str">
        <x:v>Yes</x:v>
      </x:c>
      <x:c r="H158" s="6" t="str">
        <x:v>Yes</x:v>
      </x:c>
      <x:c r="I158" s="6" t="str">
        <x:v>Passed</x:v>
      </x:c>
      <x:c r="J158" s="1" t="str">
        <x:f>IF(AND(G158="No",OR(H158="Yes",I158="Passed",I158="Failed")),"Check inputs","OK")</x:f>
        <x:v>OK</x:v>
      </x:c>
    </x:row>
    <x:row r="159" ht="25" customHeight="1">
      <x:c r="A159" s="1" t="str">
        <x:v>US-16-T4</x:v>
      </x:c>
      <x:c r="B159" s="1" t="str">
        <x:v>US-16</x:v>
      </x:c>
      <x:c r="C159" s="1" t="str">
        <x:v>FR-16</x:v>
      </x:c>
      <x:c r="D159" s="1" t="str">
        <x:v>CMP-4</x:v>
      </x:c>
      <x:c r="E159" s="1" t="str">
        <x:v>Paging check 4</x:v>
      </x:c>
      <x:c r="F159" s="1" t="str">
        <x:f>'Requirements'!D21</x:f>
        <x:v>Must</x:v>
      </x:c>
      <x:c r="G159" s="6" t="str">
        <x:v>Yes</x:v>
      </x:c>
      <x:c r="H159" s="6" t="str">
        <x:v>Yes</x:v>
      </x:c>
      <x:c r="I159" s="6" t="str">
        <x:v>Passed</x:v>
      </x:c>
      <x:c r="J159" s="1" t="str">
        <x:f>IF(AND(G159="No",OR(H159="Yes",I159="Passed",I159="Failed")),"Check inputs","OK")</x:f>
        <x:v>OK</x:v>
      </x:c>
    </x:row>
    <x:row r="160" ht="25" customHeight="1">
      <x:c r="A160" s="1" t="str">
        <x:v>US-16-T5</x:v>
      </x:c>
      <x:c r="B160" s="1" t="str">
        <x:v>US-16</x:v>
      </x:c>
      <x:c r="C160" s="1" t="str">
        <x:v>FR-16</x:v>
      </x:c>
      <x:c r="D160" s="1" t="str">
        <x:v>CMP-4</x:v>
      </x:c>
      <x:c r="E160" s="1" t="str">
        <x:v>Paging check 5</x:v>
      </x:c>
      <x:c r="F160" s="1" t="str">
        <x:f>'Requirements'!D21</x:f>
        <x:v>Must</x:v>
      </x:c>
      <x:c r="G160" s="6" t="str">
        <x:v>Yes</x:v>
      </x:c>
      <x:c r="H160" s="6" t="str">
        <x:v>Yes</x:v>
      </x:c>
      <x:c r="I160" s="6" t="str">
        <x:v>Passed</x:v>
      </x:c>
      <x:c r="J160" s="1" t="str">
        <x:f>IF(AND(G160="No",OR(H160="Yes",I160="Passed",I160="Failed")),"Check inputs","OK")</x:f>
        <x:v>OK</x:v>
      </x:c>
    </x:row>
    <x:row r="161" ht="25" customHeight="1">
      <x:c r="A161" s="1" t="str">
        <x:v>US-16-T6</x:v>
      </x:c>
      <x:c r="B161" s="1" t="str">
        <x:v>US-16</x:v>
      </x:c>
      <x:c r="C161" s="1" t="str">
        <x:v>FR-16</x:v>
      </x:c>
      <x:c r="D161" s="1" t="str">
        <x:v>CMP-4</x:v>
      </x:c>
      <x:c r="E161" s="1" t="str">
        <x:v>Paging check 6</x:v>
      </x:c>
      <x:c r="F161" s="1" t="str">
        <x:f>'Requirements'!D21</x:f>
        <x:v>Must</x:v>
      </x:c>
      <x:c r="G161" s="6" t="str">
        <x:v>Yes</x:v>
      </x:c>
      <x:c r="H161" s="6" t="str">
        <x:v>Yes</x:v>
      </x:c>
      <x:c r="I161" s="6" t="str">
        <x:v>Passed</x:v>
      </x:c>
      <x:c r="J161" s="1" t="str">
        <x:f>IF(AND(G161="No",OR(H161="Yes",I161="Passed",I161="Failed")),"Check inputs","OK")</x:f>
        <x:v>OK</x:v>
      </x:c>
    </x:row>
    <x:row r="162" ht="25" customHeight="1">
      <x:c r="A162" s="1" t="str">
        <x:v>US-16-T7</x:v>
      </x:c>
      <x:c r="B162" s="1" t="str">
        <x:v>US-16</x:v>
      </x:c>
      <x:c r="C162" s="1" t="str">
        <x:v>FR-16</x:v>
      </x:c>
      <x:c r="D162" s="1" t="str">
        <x:v>CMP-4</x:v>
      </x:c>
      <x:c r="E162" s="1" t="str">
        <x:v>Paging check 7</x:v>
      </x:c>
      <x:c r="F162" s="1" t="str">
        <x:f>'Requirements'!D21</x:f>
        <x:v>Must</x:v>
      </x:c>
      <x:c r="G162" s="6" t="str">
        <x:v>Yes</x:v>
      </x:c>
      <x:c r="H162" s="6" t="str">
        <x:v>Yes</x:v>
      </x:c>
      <x:c r="I162" s="6" t="str">
        <x:v>Passed</x:v>
      </x:c>
      <x:c r="J162" s="1" t="str">
        <x:f>IF(AND(G162="No",OR(H162="Yes",I162="Passed",I162="Failed")),"Check inputs","OK")</x:f>
        <x:v>OK</x:v>
      </x:c>
    </x:row>
    <x:row r="163" ht="25" customHeight="1">
      <x:c r="A163" s="1" t="str">
        <x:v>US-16-T8</x:v>
      </x:c>
      <x:c r="B163" s="1" t="str">
        <x:v>US-16</x:v>
      </x:c>
      <x:c r="C163" s="1" t="str">
        <x:v>FR-16</x:v>
      </x:c>
      <x:c r="D163" s="1" t="str">
        <x:v>CMP-4</x:v>
      </x:c>
      <x:c r="E163" s="1" t="str">
        <x:v>Paging check 8</x:v>
      </x:c>
      <x:c r="F163" s="1" t="str">
        <x:f>'Requirements'!D21</x:f>
        <x:v>Must</x:v>
      </x:c>
      <x:c r="G163" s="6" t="str">
        <x:v>Yes</x:v>
      </x:c>
      <x:c r="H163" s="6" t="str">
        <x:v>Yes</x:v>
      </x:c>
      <x:c r="I163" s="6" t="str">
        <x:v>Passed</x:v>
      </x:c>
      <x:c r="J163" s="1" t="str">
        <x:f>IF(AND(G163="No",OR(H163="Yes",I163="Passed",I163="Failed")),"Check inputs","OK")</x:f>
        <x:v>OK</x:v>
      </x:c>
    </x:row>
    <x:row r="164" ht="25" customHeight="1">
      <x:c r="A164" s="1" t="str">
        <x:v>US-16-T9</x:v>
      </x:c>
      <x:c r="B164" s="1" t="str">
        <x:v>US-16</x:v>
      </x:c>
      <x:c r="C164" s="1" t="str">
        <x:v>FR-16</x:v>
      </x:c>
      <x:c r="D164" s="1" t="str">
        <x:v>CMP-4</x:v>
      </x:c>
      <x:c r="E164" s="1" t="str">
        <x:v>Paging check 9</x:v>
      </x:c>
      <x:c r="F164" s="1" t="str">
        <x:f>'Requirements'!D21</x:f>
        <x:v>Must</x:v>
      </x:c>
      <x:c r="G164" s="6" t="str">
        <x:v>Yes</x:v>
      </x:c>
      <x:c r="H164" s="6" t="str">
        <x:v>Yes</x:v>
      </x:c>
      <x:c r="I164" s="6" t="str">
        <x:v>Passed</x:v>
      </x:c>
      <x:c r="J164" s="1" t="str">
        <x:f>IF(AND(G164="No",OR(H164="Yes",I164="Passed",I164="Failed")),"Check inputs","OK")</x:f>
        <x:v>OK</x:v>
      </x:c>
    </x:row>
    <x:row r="165" ht="25" customHeight="1">
      <x:c r="A165" s="1" t="str">
        <x:v>US-16-T10</x:v>
      </x:c>
      <x:c r="B165" s="1" t="str">
        <x:v>US-16</x:v>
      </x:c>
      <x:c r="C165" s="1" t="str">
        <x:v>FR-16</x:v>
      </x:c>
      <x:c r="D165" s="1" t="str">
        <x:v>CMP-4</x:v>
      </x:c>
      <x:c r="E165" s="1" t="str">
        <x:v>Paging check 10</x:v>
      </x:c>
      <x:c r="F165" s="1" t="str">
        <x:f>'Requirements'!D21</x:f>
        <x:v>Must</x:v>
      </x:c>
      <x:c r="G165" s="6" t="str">
        <x:v>Yes</x:v>
      </x:c>
      <x:c r="H165" s="6" t="str">
        <x:v>Yes</x:v>
      </x:c>
      <x:c r="I165" s="6" t="str">
        <x:v>Passed</x:v>
      </x:c>
      <x:c r="J165" s="1" t="str">
        <x:f>IF(AND(G165="No",OR(H165="Yes",I165="Passed",I165="Failed")),"Check inputs","OK")</x:f>
        <x:v>OK</x:v>
      </x:c>
    </x:row>
    <x:row r="166" ht="25" customHeight="1">
      <x:c r="A166" s="1" t="str">
        <x:v>US-17-T1</x:v>
      </x:c>
      <x:c r="B166" s="1" t="str">
        <x:v>US-17</x:v>
      </x:c>
      <x:c r="C166" s="1" t="str">
        <x:v>FR-17</x:v>
      </x:c>
      <x:c r="D166" s="1" t="str">
        <x:v>CMP-4</x:v>
      </x:c>
      <x:c r="E166" s="1" t="str">
        <x:v>Paging check 1</x:v>
      </x:c>
      <x:c r="F166" s="1" t="str">
        <x:f>'Requirements'!D22</x:f>
        <x:v>Must</x:v>
      </x:c>
      <x:c r="G166" s="6" t="str">
        <x:v>Yes</x:v>
      </x:c>
      <x:c r="H166" s="6" t="str">
        <x:v>Yes</x:v>
      </x:c>
      <x:c r="I166" s="6" t="str">
        <x:v>Passed</x:v>
      </x:c>
      <x:c r="J166" s="1" t="str">
        <x:f>IF(AND(G166="No",OR(H166="Yes",I166="Passed",I166="Failed")),"Check inputs","OK")</x:f>
        <x:v>OK</x:v>
      </x:c>
    </x:row>
    <x:row r="167" ht="25" customHeight="1">
      <x:c r="A167" s="1" t="str">
        <x:v>US-17-T2</x:v>
      </x:c>
      <x:c r="B167" s="1" t="str">
        <x:v>US-17</x:v>
      </x:c>
      <x:c r="C167" s="1" t="str">
        <x:v>FR-17</x:v>
      </x:c>
      <x:c r="D167" s="1" t="str">
        <x:v>CMP-4</x:v>
      </x:c>
      <x:c r="E167" s="1" t="str">
        <x:v>Paging check 2</x:v>
      </x:c>
      <x:c r="F167" s="1" t="str">
        <x:f>'Requirements'!D22</x:f>
        <x:v>Must</x:v>
      </x:c>
      <x:c r="G167" s="6" t="str">
        <x:v>Yes</x:v>
      </x:c>
      <x:c r="H167" s="6" t="str">
        <x:v>Yes</x:v>
      </x:c>
      <x:c r="I167" s="6" t="str">
        <x:v>Passed</x:v>
      </x:c>
      <x:c r="J167" s="1" t="str">
        <x:f>IF(AND(G167="No",OR(H167="Yes",I167="Passed",I167="Failed")),"Check inputs","OK")</x:f>
        <x:v>OK</x:v>
      </x:c>
    </x:row>
    <x:row r="168" ht="25" customHeight="1">
      <x:c r="A168" s="1" t="str">
        <x:v>US-17-T3</x:v>
      </x:c>
      <x:c r="B168" s="1" t="str">
        <x:v>US-17</x:v>
      </x:c>
      <x:c r="C168" s="1" t="str">
        <x:v>FR-17</x:v>
      </x:c>
      <x:c r="D168" s="1" t="str">
        <x:v>CMP-4</x:v>
      </x:c>
      <x:c r="E168" s="1" t="str">
        <x:v>Paging check 3</x:v>
      </x:c>
      <x:c r="F168" s="1" t="str">
        <x:f>'Requirements'!D22</x:f>
        <x:v>Must</x:v>
      </x:c>
      <x:c r="G168" s="6" t="str">
        <x:v>Yes</x:v>
      </x:c>
      <x:c r="H168" s="6" t="str">
        <x:v>Yes</x:v>
      </x:c>
      <x:c r="I168" s="6" t="str">
        <x:v>Passed</x:v>
      </x:c>
      <x:c r="J168" s="1" t="str">
        <x:f>IF(AND(G168="No",OR(H168="Yes",I168="Passed",I168="Failed")),"Check inputs","OK")</x:f>
        <x:v>OK</x:v>
      </x:c>
    </x:row>
    <x:row r="169" ht="25" customHeight="1">
      <x:c r="A169" s="1" t="str">
        <x:v>US-17-T4</x:v>
      </x:c>
      <x:c r="B169" s="1" t="str">
        <x:v>US-17</x:v>
      </x:c>
      <x:c r="C169" s="1" t="str">
        <x:v>FR-17</x:v>
      </x:c>
      <x:c r="D169" s="1" t="str">
        <x:v>CMP-4</x:v>
      </x:c>
      <x:c r="E169" s="1" t="str">
        <x:v>Paging check 4</x:v>
      </x:c>
      <x:c r="F169" s="1" t="str">
        <x:f>'Requirements'!D22</x:f>
        <x:v>Must</x:v>
      </x:c>
      <x:c r="G169" s="6" t="str">
        <x:v>Yes</x:v>
      </x:c>
      <x:c r="H169" s="6" t="str">
        <x:v>Yes</x:v>
      </x:c>
      <x:c r="I169" s="6" t="str">
        <x:v>Passed</x:v>
      </x:c>
      <x:c r="J169" s="1" t="str">
        <x:f>IF(AND(G169="No",OR(H169="Yes",I169="Passed",I169="Failed")),"Check inputs","OK")</x:f>
        <x:v>OK</x:v>
      </x:c>
    </x:row>
    <x:row r="170" ht="25" customHeight="1">
      <x:c r="A170" s="1" t="str">
        <x:v>US-17-T5</x:v>
      </x:c>
      <x:c r="B170" s="1" t="str">
        <x:v>US-17</x:v>
      </x:c>
      <x:c r="C170" s="1" t="str">
        <x:v>FR-17</x:v>
      </x:c>
      <x:c r="D170" s="1" t="str">
        <x:v>CMP-4</x:v>
      </x:c>
      <x:c r="E170" s="1" t="str">
        <x:v>Paging check 5</x:v>
      </x:c>
      <x:c r="F170" s="1" t="str">
        <x:f>'Requirements'!D22</x:f>
        <x:v>Must</x:v>
      </x:c>
      <x:c r="G170" s="6" t="str">
        <x:v>Yes</x:v>
      </x:c>
      <x:c r="H170" s="6" t="str">
        <x:v>Yes</x:v>
      </x:c>
      <x:c r="I170" s="6" t="str">
        <x:v>Passed</x:v>
      </x:c>
      <x:c r="J170" s="1" t="str">
        <x:f>IF(AND(G170="No",OR(H170="Yes",I170="Passed",I170="Failed")),"Check inputs","OK")</x:f>
        <x:v>OK</x:v>
      </x:c>
    </x:row>
    <x:row r="171" ht="25" customHeight="1">
      <x:c r="A171" s="1" t="str">
        <x:v>US-17-T6</x:v>
      </x:c>
      <x:c r="B171" s="1" t="str">
        <x:v>US-17</x:v>
      </x:c>
      <x:c r="C171" s="1" t="str">
        <x:v>FR-17</x:v>
      </x:c>
      <x:c r="D171" s="1" t="str">
        <x:v>CMP-4</x:v>
      </x:c>
      <x:c r="E171" s="1" t="str">
        <x:v>Paging check 6</x:v>
      </x:c>
      <x:c r="F171" s="1" t="str">
        <x:f>'Requirements'!D22</x:f>
        <x:v>Must</x:v>
      </x:c>
      <x:c r="G171" s="6" t="str">
        <x:v>Yes</x:v>
      </x:c>
      <x:c r="H171" s="6" t="str">
        <x:v>Yes</x:v>
      </x:c>
      <x:c r="I171" s="6" t="str">
        <x:v>Passed</x:v>
      </x:c>
      <x:c r="J171" s="1" t="str">
        <x:f>IF(AND(G171="No",OR(H171="Yes",I171="Passed",I171="Failed")),"Check inputs","OK")</x:f>
        <x:v>OK</x:v>
      </x:c>
    </x:row>
    <x:row r="172" ht="25" customHeight="1">
      <x:c r="A172" s="1" t="str">
        <x:v>US-17-T7</x:v>
      </x:c>
      <x:c r="B172" s="1" t="str">
        <x:v>US-17</x:v>
      </x:c>
      <x:c r="C172" s="1" t="str">
        <x:v>FR-17</x:v>
      </x:c>
      <x:c r="D172" s="1" t="str">
        <x:v>CMP-4</x:v>
      </x:c>
      <x:c r="E172" s="1" t="str">
        <x:v>Paging check 7</x:v>
      </x:c>
      <x:c r="F172" s="1" t="str">
        <x:f>'Requirements'!D22</x:f>
        <x:v>Must</x:v>
      </x:c>
      <x:c r="G172" s="6" t="str">
        <x:v>Yes</x:v>
      </x:c>
      <x:c r="H172" s="6" t="str">
        <x:v>Yes</x:v>
      </x:c>
      <x:c r="I172" s="6" t="str">
        <x:v>Passed</x:v>
      </x:c>
      <x:c r="J172" s="1" t="str">
        <x:f>IF(AND(G172="No",OR(H172="Yes",I172="Passed",I172="Failed")),"Check inputs","OK")</x:f>
        <x:v>OK</x:v>
      </x:c>
    </x:row>
    <x:row r="173" ht="25" customHeight="1">
      <x:c r="A173" s="1" t="str">
        <x:v>US-17-T8</x:v>
      </x:c>
      <x:c r="B173" s="1" t="str">
        <x:v>US-17</x:v>
      </x:c>
      <x:c r="C173" s="1" t="str">
        <x:v>FR-17</x:v>
      </x:c>
      <x:c r="D173" s="1" t="str">
        <x:v>CMP-4</x:v>
      </x:c>
      <x:c r="E173" s="1" t="str">
        <x:v>Paging check 8</x:v>
      </x:c>
      <x:c r="F173" s="1" t="str">
        <x:f>'Requirements'!D22</x:f>
        <x:v>Must</x:v>
      </x:c>
      <x:c r="G173" s="6" t="str">
        <x:v>Yes</x:v>
      </x:c>
      <x:c r="H173" s="6" t="str">
        <x:v>Yes</x:v>
      </x:c>
      <x:c r="I173" s="6" t="str">
        <x:v>Passed</x:v>
      </x:c>
      <x:c r="J173" s="1" t="str">
        <x:f>IF(AND(G173="No",OR(H173="Yes",I173="Passed",I173="Failed")),"Check inputs","OK")</x:f>
        <x:v>OK</x:v>
      </x:c>
    </x:row>
    <x:row r="174" ht="25" customHeight="1">
      <x:c r="A174" s="1" t="str">
        <x:v>US-17-T9</x:v>
      </x:c>
      <x:c r="B174" s="1" t="str">
        <x:v>US-17</x:v>
      </x:c>
      <x:c r="C174" s="1" t="str">
        <x:v>FR-17</x:v>
      </x:c>
      <x:c r="D174" s="1" t="str">
        <x:v>CMP-4</x:v>
      </x:c>
      <x:c r="E174" s="1" t="str">
        <x:v>Paging check 9</x:v>
      </x:c>
      <x:c r="F174" s="1" t="str">
        <x:f>'Requirements'!D22</x:f>
        <x:v>Must</x:v>
      </x:c>
      <x:c r="G174" s="6" t="str">
        <x:v>Yes</x:v>
      </x:c>
      <x:c r="H174" s="6" t="str">
        <x:v>Yes</x:v>
      </x:c>
      <x:c r="I174" s="6" t="str">
        <x:v>Passed</x:v>
      </x:c>
      <x:c r="J174" s="1" t="str">
        <x:f>IF(AND(G174="No",OR(H174="Yes",I174="Passed",I174="Failed")),"Check inputs","OK")</x:f>
        <x:v>OK</x:v>
      </x:c>
    </x:row>
    <x:row r="175" ht="25" customHeight="1">
      <x:c r="A175" s="1" t="str">
        <x:v>US-17-T10</x:v>
      </x:c>
      <x:c r="B175" s="1" t="str">
        <x:v>US-17</x:v>
      </x:c>
      <x:c r="C175" s="1" t="str">
        <x:v>FR-17</x:v>
      </x:c>
      <x:c r="D175" s="1" t="str">
        <x:v>CMP-4</x:v>
      </x:c>
      <x:c r="E175" s="1" t="str">
        <x:v>Paging check 10</x:v>
      </x:c>
      <x:c r="F175" s="1" t="str">
        <x:f>'Requirements'!D22</x:f>
        <x:v>Must</x:v>
      </x:c>
      <x:c r="G175" s="6" t="str">
        <x:v>Yes</x:v>
      </x:c>
      <x:c r="H175" s="6" t="str">
        <x:v>Yes</x:v>
      </x:c>
      <x:c r="I175" s="6" t="str">
        <x:v>Passed</x:v>
      </x:c>
      <x:c r="J175" s="1" t="str">
        <x:f>IF(AND(G175="No",OR(H175="Yes",I175="Passed",I175="Failed")),"Check inputs","OK")</x:f>
        <x:v>OK</x:v>
      </x:c>
    </x:row>
    <x:row r="176" ht="25" customHeight="1">
      <x:c r="A176" s="1" t="str">
        <x:v>US-18-T1</x:v>
      </x:c>
      <x:c r="B176" s="1" t="str">
        <x:v>US-18</x:v>
      </x:c>
      <x:c r="C176" s="1" t="str">
        <x:v>FR-18</x:v>
      </x:c>
      <x:c r="D176" s="1" t="str">
        <x:v>CMP-4</x:v>
      </x:c>
      <x:c r="E176" s="1" t="str">
        <x:v>Paging check 1</x:v>
      </x:c>
      <x:c r="F176" s="1" t="str">
        <x:f>'Requirements'!D23</x:f>
        <x:v>Must</x:v>
      </x:c>
      <x:c r="G176" s="6" t="str">
        <x:v>Yes</x:v>
      </x:c>
      <x:c r="H176" s="6" t="str">
        <x:v>Yes</x:v>
      </x:c>
      <x:c r="I176" s="6" t="str">
        <x:v>Passed</x:v>
      </x:c>
      <x:c r="J176" s="1" t="str">
        <x:f>IF(AND(G176="No",OR(H176="Yes",I176="Passed",I176="Failed")),"Check inputs","OK")</x:f>
        <x:v>OK</x:v>
      </x:c>
    </x:row>
    <x:row r="177" ht="25" customHeight="1">
      <x:c r="A177" s="1" t="str">
        <x:v>US-18-T2</x:v>
      </x:c>
      <x:c r="B177" s="1" t="str">
        <x:v>US-18</x:v>
      </x:c>
      <x:c r="C177" s="1" t="str">
        <x:v>FR-18</x:v>
      </x:c>
      <x:c r="D177" s="1" t="str">
        <x:v>CMP-4</x:v>
      </x:c>
      <x:c r="E177" s="1" t="str">
        <x:v>Paging check 2</x:v>
      </x:c>
      <x:c r="F177" s="1" t="str">
        <x:f>'Requirements'!D23</x:f>
        <x:v>Must</x:v>
      </x:c>
      <x:c r="G177" s="6" t="str">
        <x:v>Yes</x:v>
      </x:c>
      <x:c r="H177" s="6" t="str">
        <x:v>Yes</x:v>
      </x:c>
      <x:c r="I177" s="6" t="str">
        <x:v>Passed</x:v>
      </x:c>
      <x:c r="J177" s="1" t="str">
        <x:f>IF(AND(G177="No",OR(H177="Yes",I177="Passed",I177="Failed")),"Check inputs","OK")</x:f>
        <x:v>OK</x:v>
      </x:c>
    </x:row>
    <x:row r="178" ht="25" customHeight="1">
      <x:c r="A178" s="1" t="str">
        <x:v>US-18-T3</x:v>
      </x:c>
      <x:c r="B178" s="1" t="str">
        <x:v>US-18</x:v>
      </x:c>
      <x:c r="C178" s="1" t="str">
        <x:v>FR-18</x:v>
      </x:c>
      <x:c r="D178" s="1" t="str">
        <x:v>CMP-4</x:v>
      </x:c>
      <x:c r="E178" s="1" t="str">
        <x:v>Paging check 3</x:v>
      </x:c>
      <x:c r="F178" s="1" t="str">
        <x:f>'Requirements'!D23</x:f>
        <x:v>Must</x:v>
      </x:c>
      <x:c r="G178" s="6" t="str">
        <x:v>Yes</x:v>
      </x:c>
      <x:c r="H178" s="6" t="str">
        <x:v>Yes</x:v>
      </x:c>
      <x:c r="I178" s="6" t="str">
        <x:v>Passed</x:v>
      </x:c>
      <x:c r="J178" s="1" t="str">
        <x:f>IF(AND(G178="No",OR(H178="Yes",I178="Passed",I178="Failed")),"Check inputs","OK")</x:f>
        <x:v>OK</x:v>
      </x:c>
    </x:row>
    <x:row r="179" ht="25" customHeight="1">
      <x:c r="A179" s="1" t="str">
        <x:v>US-18-T4</x:v>
      </x:c>
      <x:c r="B179" s="1" t="str">
        <x:v>US-18</x:v>
      </x:c>
      <x:c r="C179" s="1" t="str">
        <x:v>FR-18</x:v>
      </x:c>
      <x:c r="D179" s="1" t="str">
        <x:v>CMP-4</x:v>
      </x:c>
      <x:c r="E179" s="1" t="str">
        <x:v>Paging check 4</x:v>
      </x:c>
      <x:c r="F179" s="1" t="str">
        <x:f>'Requirements'!D23</x:f>
        <x:v>Must</x:v>
      </x:c>
      <x:c r="G179" s="6" t="str">
        <x:v>Yes</x:v>
      </x:c>
      <x:c r="H179" s="6" t="str">
        <x:v>Yes</x:v>
      </x:c>
      <x:c r="I179" s="6" t="str">
        <x:v>Passed</x:v>
      </x:c>
      <x:c r="J179" s="1" t="str">
        <x:f>IF(AND(G179="No",OR(H179="Yes",I179="Passed",I179="Failed")),"Check inputs","OK")</x:f>
        <x:v>OK</x:v>
      </x:c>
    </x:row>
    <x:row r="180" ht="25" customHeight="1">
      <x:c r="A180" s="1" t="str">
        <x:v>US-18-T5</x:v>
      </x:c>
      <x:c r="B180" s="1" t="str">
        <x:v>US-18</x:v>
      </x:c>
      <x:c r="C180" s="1" t="str">
        <x:v>FR-18</x:v>
      </x:c>
      <x:c r="D180" s="1" t="str">
        <x:v>CMP-4</x:v>
      </x:c>
      <x:c r="E180" s="1" t="str">
        <x:v>Paging check 5</x:v>
      </x:c>
      <x:c r="F180" s="1" t="str">
        <x:f>'Requirements'!D23</x:f>
        <x:v>Must</x:v>
      </x:c>
      <x:c r="G180" s="6" t="str">
        <x:v>Yes</x:v>
      </x:c>
      <x:c r="H180" s="6" t="str">
        <x:v>Yes</x:v>
      </x:c>
      <x:c r="I180" s="6" t="str">
        <x:v>Passed</x:v>
      </x:c>
      <x:c r="J180" s="1" t="str">
        <x:f>IF(AND(G180="No",OR(H180="Yes",I180="Passed",I180="Failed")),"Check inputs","OK")</x:f>
        <x:v>OK</x:v>
      </x:c>
    </x:row>
    <x:row r="181" ht="25" customHeight="1">
      <x:c r="A181" s="1" t="str">
        <x:v>US-18-T6</x:v>
      </x:c>
      <x:c r="B181" s="1" t="str">
        <x:v>US-18</x:v>
      </x:c>
      <x:c r="C181" s="1" t="str">
        <x:v>FR-18</x:v>
      </x:c>
      <x:c r="D181" s="1" t="str">
        <x:v>CMP-4</x:v>
      </x:c>
      <x:c r="E181" s="1" t="str">
        <x:v>Paging check 6</x:v>
      </x:c>
      <x:c r="F181" s="1" t="str">
        <x:f>'Requirements'!D23</x:f>
        <x:v>Must</x:v>
      </x:c>
      <x:c r="G181" s="6" t="str">
        <x:v>Yes</x:v>
      </x:c>
      <x:c r="H181" s="6" t="str">
        <x:v>Yes</x:v>
      </x:c>
      <x:c r="I181" s="6" t="str">
        <x:v>Passed</x:v>
      </x:c>
      <x:c r="J181" s="1" t="str">
        <x:f>IF(AND(G181="No",OR(H181="Yes",I181="Passed",I181="Failed")),"Check inputs","OK")</x:f>
        <x:v>OK</x:v>
      </x:c>
    </x:row>
    <x:row r="182" ht="25" customHeight="1">
      <x:c r="A182" s="1" t="str">
        <x:v>US-18-T7</x:v>
      </x:c>
      <x:c r="B182" s="1" t="str">
        <x:v>US-18</x:v>
      </x:c>
      <x:c r="C182" s="1" t="str">
        <x:v>FR-18</x:v>
      </x:c>
      <x:c r="D182" s="1" t="str">
        <x:v>CMP-4</x:v>
      </x:c>
      <x:c r="E182" s="1" t="str">
        <x:v>Paging check 7</x:v>
      </x:c>
      <x:c r="F182" s="1" t="str">
        <x:f>'Requirements'!D23</x:f>
        <x:v>Must</x:v>
      </x:c>
      <x:c r="G182" s="6" t="str">
        <x:v>Yes</x:v>
      </x:c>
      <x:c r="H182" s="6" t="str">
        <x:v>Yes</x:v>
      </x:c>
      <x:c r="I182" s="6" t="str">
        <x:v>Passed</x:v>
      </x:c>
      <x:c r="J182" s="1" t="str">
        <x:f>IF(AND(G182="No",OR(H182="Yes",I182="Passed",I182="Failed")),"Check inputs","OK")</x:f>
        <x:v>OK</x:v>
      </x:c>
    </x:row>
    <x:row r="183" ht="25" customHeight="1">
      <x:c r="A183" s="1" t="str">
        <x:v>US-18-T8</x:v>
      </x:c>
      <x:c r="B183" s="1" t="str">
        <x:v>US-18</x:v>
      </x:c>
      <x:c r="C183" s="1" t="str">
        <x:v>FR-18</x:v>
      </x:c>
      <x:c r="D183" s="1" t="str">
        <x:v>CMP-4</x:v>
      </x:c>
      <x:c r="E183" s="1" t="str">
        <x:v>Paging check 8</x:v>
      </x:c>
      <x:c r="F183" s="1" t="str">
        <x:f>'Requirements'!D23</x:f>
        <x:v>Must</x:v>
      </x:c>
      <x:c r="G183" s="6" t="str">
        <x:v>Yes</x:v>
      </x:c>
      <x:c r="H183" s="6" t="str">
        <x:v>Yes</x:v>
      </x:c>
      <x:c r="I183" s="6" t="str">
        <x:v>Passed</x:v>
      </x:c>
      <x:c r="J183" s="1" t="str">
        <x:f>IF(AND(G183="No",OR(H183="Yes",I183="Passed",I183="Failed")),"Check inputs","OK")</x:f>
        <x:v>OK</x:v>
      </x:c>
    </x:row>
    <x:row r="184" ht="25" customHeight="1">
      <x:c r="A184" s="1" t="str">
        <x:v>US-18-T9</x:v>
      </x:c>
      <x:c r="B184" s="1" t="str">
        <x:v>US-18</x:v>
      </x:c>
      <x:c r="C184" s="1" t="str">
        <x:v>FR-18</x:v>
      </x:c>
      <x:c r="D184" s="1" t="str">
        <x:v>CMP-4</x:v>
      </x:c>
      <x:c r="E184" s="1" t="str">
        <x:v>Paging check 9</x:v>
      </x:c>
      <x:c r="F184" s="1" t="str">
        <x:f>'Requirements'!D23</x:f>
        <x:v>Must</x:v>
      </x:c>
      <x:c r="G184" s="6" t="str">
        <x:v>Yes</x:v>
      </x:c>
      <x:c r="H184" s="6" t="str">
        <x:v>Yes</x:v>
      </x:c>
      <x:c r="I184" s="6" t="str">
        <x:v>Passed</x:v>
      </x:c>
      <x:c r="J184" s="1" t="str">
        <x:f>IF(AND(G184="No",OR(H184="Yes",I184="Passed",I184="Failed")),"Check inputs","OK")</x:f>
        <x:v>OK</x:v>
      </x:c>
    </x:row>
    <x:row r="185" ht="25" customHeight="1">
      <x:c r="A185" s="1" t="str">
        <x:v>US-18-T10</x:v>
      </x:c>
      <x:c r="B185" s="1" t="str">
        <x:v>US-18</x:v>
      </x:c>
      <x:c r="C185" s="1" t="str">
        <x:v>FR-18</x:v>
      </x:c>
      <x:c r="D185" s="1" t="str">
        <x:v>CMP-4</x:v>
      </x:c>
      <x:c r="E185" s="1" t="str">
        <x:v>Paging check 10</x:v>
      </x:c>
      <x:c r="F185" s="1" t="str">
        <x:f>'Requirements'!D23</x:f>
        <x:v>Must</x:v>
      </x:c>
      <x:c r="G185" s="6" t="str">
        <x:v>Yes</x:v>
      </x:c>
      <x:c r="H185" s="6" t="str">
        <x:v>Yes</x:v>
      </x:c>
      <x:c r="I185" s="6" t="str">
        <x:v>Passed</x:v>
      </x:c>
      <x:c r="J185" s="1" t="str">
        <x:f>IF(AND(G185="No",OR(H185="Yes",I185="Passed",I185="Failed")),"Check inputs","OK")</x:f>
        <x:v>OK</x:v>
      </x:c>
    </x:row>
    <x:row r="186" ht="25" customHeight="1">
      <x:c r="A186" s="1" t="str">
        <x:v>US-19-T1</x:v>
      </x:c>
      <x:c r="B186" s="1" t="str">
        <x:v>US-19</x:v>
      </x:c>
      <x:c r="C186" s="1" t="str">
        <x:v>FR-19</x:v>
      </x:c>
      <x:c r="D186" s="1" t="str">
        <x:v>CMP-4</x:v>
      </x:c>
      <x:c r="E186" s="1" t="str">
        <x:v>Paging check 1</x:v>
      </x:c>
      <x:c r="F186" s="1" t="str">
        <x:f>'Requirements'!D24</x:f>
        <x:v>Must</x:v>
      </x:c>
      <x:c r="G186" s="6" t="str">
        <x:v>Yes</x:v>
      </x:c>
      <x:c r="H186" s="6" t="str">
        <x:v>Yes</x:v>
      </x:c>
      <x:c r="I186" s="6" t="str">
        <x:v>Passed</x:v>
      </x:c>
      <x:c r="J186" s="1" t="str">
        <x:f>IF(AND(G186="No",OR(H186="Yes",I186="Passed",I186="Failed")),"Check inputs","OK")</x:f>
        <x:v>OK</x:v>
      </x:c>
    </x:row>
    <x:row r="187" ht="25" customHeight="1">
      <x:c r="A187" s="1" t="str">
        <x:v>US-19-T2</x:v>
      </x:c>
      <x:c r="B187" s="1" t="str">
        <x:v>US-19</x:v>
      </x:c>
      <x:c r="C187" s="1" t="str">
        <x:v>FR-19</x:v>
      </x:c>
      <x:c r="D187" s="1" t="str">
        <x:v>CMP-4</x:v>
      </x:c>
      <x:c r="E187" s="1" t="str">
        <x:v>Paging check 2</x:v>
      </x:c>
      <x:c r="F187" s="1" t="str">
        <x:f>'Requirements'!D24</x:f>
        <x:v>Must</x:v>
      </x:c>
      <x:c r="G187" s="6" t="str">
        <x:v>Yes</x:v>
      </x:c>
      <x:c r="H187" s="6" t="str">
        <x:v>Yes</x:v>
      </x:c>
      <x:c r="I187" s="6" t="str">
        <x:v>Passed</x:v>
      </x:c>
      <x:c r="J187" s="1" t="str">
        <x:f>IF(AND(G187="No",OR(H187="Yes",I187="Passed",I187="Failed")),"Check inputs","OK")</x:f>
        <x:v>OK</x:v>
      </x:c>
    </x:row>
    <x:row r="188" ht="25" customHeight="1">
      <x:c r="A188" s="1" t="str">
        <x:v>US-19-T3</x:v>
      </x:c>
      <x:c r="B188" s="1" t="str">
        <x:v>US-19</x:v>
      </x:c>
      <x:c r="C188" s="1" t="str">
        <x:v>FR-19</x:v>
      </x:c>
      <x:c r="D188" s="1" t="str">
        <x:v>CMP-4</x:v>
      </x:c>
      <x:c r="E188" s="1" t="str">
        <x:v>Paging check 3</x:v>
      </x:c>
      <x:c r="F188" s="1" t="str">
        <x:f>'Requirements'!D24</x:f>
        <x:v>Must</x:v>
      </x:c>
      <x:c r="G188" s="6" t="str">
        <x:v>Yes</x:v>
      </x:c>
      <x:c r="H188" s="6" t="str">
        <x:v>Yes</x:v>
      </x:c>
      <x:c r="I188" s="6" t="str">
        <x:v>Passed</x:v>
      </x:c>
      <x:c r="J188" s="1" t="str">
        <x:f>IF(AND(G188="No",OR(H188="Yes",I188="Passed",I188="Failed")),"Check inputs","OK")</x:f>
        <x:v>OK</x:v>
      </x:c>
    </x:row>
    <x:row r="189" ht="25" customHeight="1">
      <x:c r="A189" s="1" t="str">
        <x:v>US-19-T4</x:v>
      </x:c>
      <x:c r="B189" s="1" t="str">
        <x:v>US-19</x:v>
      </x:c>
      <x:c r="C189" s="1" t="str">
        <x:v>FR-19</x:v>
      </x:c>
      <x:c r="D189" s="1" t="str">
        <x:v>CMP-4</x:v>
      </x:c>
      <x:c r="E189" s="1" t="str">
        <x:v>Paging check 4</x:v>
      </x:c>
      <x:c r="F189" s="1" t="str">
        <x:f>'Requirements'!D24</x:f>
        <x:v>Must</x:v>
      </x:c>
      <x:c r="G189" s="6" t="str">
        <x:v>Yes</x:v>
      </x:c>
      <x:c r="H189" s="6" t="str">
        <x:v>Yes</x:v>
      </x:c>
      <x:c r="I189" s="6" t="str">
        <x:v>Passed</x:v>
      </x:c>
      <x:c r="J189" s="1" t="str">
        <x:f>IF(AND(G189="No",OR(H189="Yes",I189="Passed",I189="Failed")),"Check inputs","OK")</x:f>
        <x:v>OK</x:v>
      </x:c>
    </x:row>
    <x:row r="190" ht="25" customHeight="1">
      <x:c r="A190" s="1" t="str">
        <x:v>US-19-T5</x:v>
      </x:c>
      <x:c r="B190" s="1" t="str">
        <x:v>US-19</x:v>
      </x:c>
      <x:c r="C190" s="1" t="str">
        <x:v>FR-19</x:v>
      </x:c>
      <x:c r="D190" s="1" t="str">
        <x:v>CMP-4</x:v>
      </x:c>
      <x:c r="E190" s="1" t="str">
        <x:v>Paging check 5</x:v>
      </x:c>
      <x:c r="F190" s="1" t="str">
        <x:f>'Requirements'!D24</x:f>
        <x:v>Must</x:v>
      </x:c>
      <x:c r="G190" s="6" t="str">
        <x:v>Yes</x:v>
      </x:c>
      <x:c r="H190" s="6" t="str">
        <x:v>Yes</x:v>
      </x:c>
      <x:c r="I190" s="6" t="str">
        <x:v>Passed</x:v>
      </x:c>
      <x:c r="J190" s="1" t="str">
        <x:f>IF(AND(G190="No",OR(H190="Yes",I190="Passed",I190="Failed")),"Check inputs","OK")</x:f>
        <x:v>OK</x:v>
      </x:c>
    </x:row>
    <x:row r="191" ht="25" customHeight="1">
      <x:c r="A191" s="1" t="str">
        <x:v>US-19-T6</x:v>
      </x:c>
      <x:c r="B191" s="1" t="str">
        <x:v>US-19</x:v>
      </x:c>
      <x:c r="C191" s="1" t="str">
        <x:v>FR-19</x:v>
      </x:c>
      <x:c r="D191" s="1" t="str">
        <x:v>CMP-4</x:v>
      </x:c>
      <x:c r="E191" s="1" t="str">
        <x:v>Paging check 6</x:v>
      </x:c>
      <x:c r="F191" s="1" t="str">
        <x:f>'Requirements'!D24</x:f>
        <x:v>Must</x:v>
      </x:c>
      <x:c r="G191" s="6" t="str">
        <x:v>Yes</x:v>
      </x:c>
      <x:c r="H191" s="6" t="str">
        <x:v>No</x:v>
      </x:c>
      <x:c r="I191" s="6" t="str">
        <x:v>Passed</x:v>
      </x:c>
      <x:c r="J191" s="1" t="str">
        <x:f>IF(AND(G191="No",OR(H191="Yes",I191="Passed",I191="Failed")),"Check inputs","OK")</x:f>
        <x:v>OK</x:v>
      </x:c>
    </x:row>
    <x:row r="192" ht="25" customHeight="1">
      <x:c r="A192" s="1" t="str">
        <x:v>US-19-T7</x:v>
      </x:c>
      <x:c r="B192" s="1" t="str">
        <x:v>US-19</x:v>
      </x:c>
      <x:c r="C192" s="1" t="str">
        <x:v>FR-19</x:v>
      </x:c>
      <x:c r="D192" s="1" t="str">
        <x:v>CMP-4</x:v>
      </x:c>
      <x:c r="E192" s="1" t="str">
        <x:v>Paging check 7</x:v>
      </x:c>
      <x:c r="F192" s="1" t="str">
        <x:f>'Requirements'!D24</x:f>
        <x:v>Must</x:v>
      </x:c>
      <x:c r="G192" s="6" t="str">
        <x:v>Yes</x:v>
      </x:c>
      <x:c r="H192" s="6" t="str">
        <x:v>No</x:v>
      </x:c>
      <x:c r="I192" s="6" t="str">
        <x:v>Passed</x:v>
      </x:c>
      <x:c r="J192" s="1" t="str">
        <x:f>IF(AND(G192="No",OR(H192="Yes",I192="Passed",I192="Failed")),"Check inputs","OK")</x:f>
        <x:v>OK</x:v>
      </x:c>
    </x:row>
    <x:row r="193" ht="25" customHeight="1">
      <x:c r="A193" s="1" t="str">
        <x:v>US-19-T8</x:v>
      </x:c>
      <x:c r="B193" s="1" t="str">
        <x:v>US-19</x:v>
      </x:c>
      <x:c r="C193" s="1" t="str">
        <x:v>FR-19</x:v>
      </x:c>
      <x:c r="D193" s="1" t="str">
        <x:v>CMP-4</x:v>
      </x:c>
      <x:c r="E193" s="1" t="str">
        <x:v>Paging check 8</x:v>
      </x:c>
      <x:c r="F193" s="1" t="str">
        <x:f>'Requirements'!D24</x:f>
        <x:v>Must</x:v>
      </x:c>
      <x:c r="G193" s="6" t="str">
        <x:v>Yes</x:v>
      </x:c>
      <x:c r="H193" s="6" t="str">
        <x:v>No</x:v>
      </x:c>
      <x:c r="I193" s="6" t="str">
        <x:v>Failed</x:v>
      </x:c>
      <x:c r="J193" s="1" t="str">
        <x:f>IF(AND(G193="No",OR(H193="Yes",I193="Passed",I193="Failed")),"Check inputs","OK")</x:f>
        <x:v>OK</x:v>
      </x:c>
    </x:row>
    <x:row r="194" ht="25" customHeight="1">
      <x:c r="A194" s="1" t="str">
        <x:v>US-19-T9</x:v>
      </x:c>
      <x:c r="B194" s="1" t="str">
        <x:v>US-19</x:v>
      </x:c>
      <x:c r="C194" s="1" t="str">
        <x:v>FR-19</x:v>
      </x:c>
      <x:c r="D194" s="1" t="str">
        <x:v>CMP-4</x:v>
      </x:c>
      <x:c r="E194" s="1" t="str">
        <x:v>Paging check 9</x:v>
      </x:c>
      <x:c r="F194" s="1" t="str">
        <x:f>'Requirements'!D24</x:f>
        <x:v>Must</x:v>
      </x:c>
      <x:c r="G194" s="6" t="str">
        <x:v>Yes</x:v>
      </x:c>
      <x:c r="H194" s="6" t="str">
        <x:v>No</x:v>
      </x:c>
      <x:c r="I194" s="6" t="str">
        <x:v>Failed</x:v>
      </x:c>
      <x:c r="J194" s="1" t="str">
        <x:f>IF(AND(G194="No",OR(H194="Yes",I194="Passed",I194="Failed")),"Check inputs","OK")</x:f>
        <x:v>OK</x:v>
      </x:c>
    </x:row>
    <x:row r="195" ht="25" customHeight="1">
      <x:c r="A195" s="1" t="str">
        <x:v>US-19-T10</x:v>
      </x:c>
      <x:c r="B195" s="1" t="str">
        <x:v>US-19</x:v>
      </x:c>
      <x:c r="C195" s="1" t="str">
        <x:v>FR-19</x:v>
      </x:c>
      <x:c r="D195" s="1" t="str">
        <x:v>CMP-4</x:v>
      </x:c>
      <x:c r="E195" s="1" t="str">
        <x:v>Paging check 10</x:v>
      </x:c>
      <x:c r="F195" s="1" t="str">
        <x:f>'Requirements'!D24</x:f>
        <x:v>Must</x:v>
      </x:c>
      <x:c r="G195" s="6" t="str">
        <x:v>Yes</x:v>
      </x:c>
      <x:c r="H195" s="6" t="str">
        <x:v>No</x:v>
      </x:c>
      <x:c r="I195" s="6" t="str">
        <x:v>Failed</x:v>
      </x:c>
      <x:c r="J195" s="1" t="str">
        <x:f>IF(AND(G195="No",OR(H195="Yes",I195="Passed",I195="Failed")),"Check inputs","OK")</x:f>
        <x:v>OK</x:v>
      </x:c>
    </x:row>
    <x:row r="196" ht="25" customHeight="1">
      <x:c r="A196" s="1" t="str">
        <x:v>US-20-T1</x:v>
      </x:c>
      <x:c r="B196" s="1" t="str">
        <x:v>US-20</x:v>
      </x:c>
      <x:c r="C196" s="1" t="str">
        <x:v>FR-20</x:v>
      </x:c>
      <x:c r="D196" s="1" t="str">
        <x:v>CMP-4</x:v>
      </x:c>
      <x:c r="E196" s="1" t="str">
        <x:v>Paging check 1</x:v>
      </x:c>
      <x:c r="F196" s="1" t="str">
        <x:f>'Requirements'!D25</x:f>
        <x:v>Should</x:v>
      </x:c>
      <x:c r="G196" s="6" t="str">
        <x:v>Yes</x:v>
      </x:c>
      <x:c r="H196" s="6" t="str">
        <x:v>No</x:v>
      </x:c>
      <x:c r="I196" s="6" t="str">
        <x:v>Passed</x:v>
      </x:c>
      <x:c r="J196" s="1" t="str">
        <x:f>IF(AND(G196="No",OR(H196="Yes",I196="Passed",I196="Failed")),"Check inputs","OK")</x:f>
        <x:v>OK</x:v>
      </x:c>
    </x:row>
    <x:row r="197" ht="25" customHeight="1">
      <x:c r="A197" s="1" t="str">
        <x:v>US-20-T2</x:v>
      </x:c>
      <x:c r="B197" s="1" t="str">
        <x:v>US-20</x:v>
      </x:c>
      <x:c r="C197" s="1" t="str">
        <x:v>FR-20</x:v>
      </x:c>
      <x:c r="D197" s="1" t="str">
        <x:v>CMP-4</x:v>
      </x:c>
      <x:c r="E197" s="1" t="str">
        <x:v>Paging check 2</x:v>
      </x:c>
      <x:c r="F197" s="1" t="str">
        <x:f>'Requirements'!D25</x:f>
        <x:v>Should</x:v>
      </x:c>
      <x:c r="G197" s="6" t="str">
        <x:v>Yes</x:v>
      </x:c>
      <x:c r="H197" s="6" t="str">
        <x:v>No</x:v>
      </x:c>
      <x:c r="I197" s="6" t="str">
        <x:v>Passed</x:v>
      </x:c>
      <x:c r="J197" s="1" t="str">
        <x:f>IF(AND(G197="No",OR(H197="Yes",I197="Passed",I197="Failed")),"Check inputs","OK")</x:f>
        <x:v>OK</x:v>
      </x:c>
    </x:row>
    <x:row r="198" ht="25" customHeight="1">
      <x:c r="A198" s="1" t="str">
        <x:v>US-20-T3</x:v>
      </x:c>
      <x:c r="B198" s="1" t="str">
        <x:v>US-20</x:v>
      </x:c>
      <x:c r="C198" s="1" t="str">
        <x:v>FR-20</x:v>
      </x:c>
      <x:c r="D198" s="1" t="str">
        <x:v>CMP-4</x:v>
      </x:c>
      <x:c r="E198" s="1" t="str">
        <x:v>Paging check 3</x:v>
      </x:c>
      <x:c r="F198" s="1" t="str">
        <x:f>'Requirements'!D25</x:f>
        <x:v>Should</x:v>
      </x:c>
      <x:c r="G198" s="6" t="str">
        <x:v>Yes</x:v>
      </x:c>
      <x:c r="H198" s="6" t="str">
        <x:v>No</x:v>
      </x:c>
      <x:c r="I198" s="6" t="str">
        <x:v>Passed</x:v>
      </x:c>
      <x:c r="J198" s="1" t="str">
        <x:f>IF(AND(G198="No",OR(H198="Yes",I198="Passed",I198="Failed")),"Check inputs","OK")</x:f>
        <x:v>OK</x:v>
      </x:c>
    </x:row>
    <x:row r="199" ht="25" customHeight="1">
      <x:c r="A199" s="1" t="str">
        <x:v>US-20-T4</x:v>
      </x:c>
      <x:c r="B199" s="1" t="str">
        <x:v>US-20</x:v>
      </x:c>
      <x:c r="C199" s="1" t="str">
        <x:v>FR-20</x:v>
      </x:c>
      <x:c r="D199" s="1" t="str">
        <x:v>CMP-4</x:v>
      </x:c>
      <x:c r="E199" s="1" t="str">
        <x:v>Paging check 4</x:v>
      </x:c>
      <x:c r="F199" s="1" t="str">
        <x:f>'Requirements'!D25</x:f>
        <x:v>Should</x:v>
      </x:c>
      <x:c r="G199" s="6" t="str">
        <x:v>Yes</x:v>
      </x:c>
      <x:c r="H199" s="6" t="str">
        <x:v>No</x:v>
      </x:c>
      <x:c r="I199" s="6" t="str">
        <x:v>Passed</x:v>
      </x:c>
      <x:c r="J199" s="1" t="str">
        <x:f>IF(AND(G199="No",OR(H199="Yes",I199="Passed",I199="Failed")),"Check inputs","OK")</x:f>
        <x:v>OK</x:v>
      </x:c>
    </x:row>
    <x:row r="200" ht="25" customHeight="1">
      <x:c r="A200" s="1" t="str">
        <x:v>US-20-T5</x:v>
      </x:c>
      <x:c r="B200" s="1" t="str">
        <x:v>US-20</x:v>
      </x:c>
      <x:c r="C200" s="1" t="str">
        <x:v>FR-20</x:v>
      </x:c>
      <x:c r="D200" s="1" t="str">
        <x:v>CMP-4</x:v>
      </x:c>
      <x:c r="E200" s="1" t="str">
        <x:v>Paging check 5</x:v>
      </x:c>
      <x:c r="F200" s="1" t="str">
        <x:f>'Requirements'!D25</x:f>
        <x:v>Should</x:v>
      </x:c>
      <x:c r="G200" s="6" t="str">
        <x:v>Yes</x:v>
      </x:c>
      <x:c r="H200" s="6" t="str">
        <x:v>No</x:v>
      </x:c>
      <x:c r="I200" s="6" t="str">
        <x:v>Passed</x:v>
      </x:c>
      <x:c r="J200" s="1" t="str">
        <x:f>IF(AND(G200="No",OR(H200="Yes",I200="Passed",I200="Failed")),"Check inputs","OK")</x:f>
        <x:v>OK</x:v>
      </x:c>
    </x:row>
    <x:row r="201" ht="25" customHeight="1">
      <x:c r="A201" s="1" t="str">
        <x:v>US-20-T6</x:v>
      </x:c>
      <x:c r="B201" s="1" t="str">
        <x:v>US-20</x:v>
      </x:c>
      <x:c r="C201" s="1" t="str">
        <x:v>FR-20</x:v>
      </x:c>
      <x:c r="D201" s="1" t="str">
        <x:v>CMP-4</x:v>
      </x:c>
      <x:c r="E201" s="1" t="str">
        <x:v>Paging check 6</x:v>
      </x:c>
      <x:c r="F201" s="1" t="str">
        <x:f>'Requirements'!D25</x:f>
        <x:v>Should</x:v>
      </x:c>
      <x:c r="G201" s="6" t="str">
        <x:v>Yes</x:v>
      </x:c>
      <x:c r="H201" s="6" t="str">
        <x:v>No</x:v>
      </x:c>
      <x:c r="I201" s="6" t="str">
        <x:v>Passed</x:v>
      </x:c>
      <x:c r="J201" s="1" t="str">
        <x:f>IF(AND(G201="No",OR(H201="Yes",I201="Passed",I201="Failed")),"Check inputs","OK")</x:f>
        <x:v>OK</x:v>
      </x:c>
    </x:row>
    <x:row r="202" ht="25" customHeight="1">
      <x:c r="A202" s="1" t="str">
        <x:v>US-20-T7</x:v>
      </x:c>
      <x:c r="B202" s="1" t="str">
        <x:v>US-20</x:v>
      </x:c>
      <x:c r="C202" s="1" t="str">
        <x:v>FR-20</x:v>
      </x:c>
      <x:c r="D202" s="1" t="str">
        <x:v>CMP-4</x:v>
      </x:c>
      <x:c r="E202" s="1" t="str">
        <x:v>Paging check 7</x:v>
      </x:c>
      <x:c r="F202" s="1" t="str">
        <x:f>'Requirements'!D25</x:f>
        <x:v>Should</x:v>
      </x:c>
      <x:c r="G202" s="6" t="str">
        <x:v>Yes</x:v>
      </x:c>
      <x:c r="H202" s="6" t="str">
        <x:v>No</x:v>
      </x:c>
      <x:c r="I202" s="6" t="str">
        <x:v>Passed</x:v>
      </x:c>
      <x:c r="J202" s="1" t="str">
        <x:f>IF(AND(G202="No",OR(H202="Yes",I202="Passed",I202="Failed")),"Check inputs","OK")</x:f>
        <x:v>OK</x:v>
      </x:c>
    </x:row>
    <x:row r="203" ht="25" customHeight="1">
      <x:c r="A203" s="1" t="str">
        <x:v>US-20-T8</x:v>
      </x:c>
      <x:c r="B203" s="1" t="str">
        <x:v>US-20</x:v>
      </x:c>
      <x:c r="C203" s="1" t="str">
        <x:v>FR-20</x:v>
      </x:c>
      <x:c r="D203" s="1" t="str">
        <x:v>CMP-4</x:v>
      </x:c>
      <x:c r="E203" s="1" t="str">
        <x:v>Paging check 8</x:v>
      </x:c>
      <x:c r="F203" s="1" t="str">
        <x:f>'Requirements'!D25</x:f>
        <x:v>Should</x:v>
      </x:c>
      <x:c r="G203" s="6" t="str">
        <x:v>Yes</x:v>
      </x:c>
      <x:c r="H203" s="6" t="str">
        <x:v>No</x:v>
      </x:c>
      <x:c r="I203" s="6" t="str">
        <x:v>Passed</x:v>
      </x:c>
      <x:c r="J203" s="1" t="str">
        <x:f>IF(AND(G203="No",OR(H203="Yes",I203="Passed",I203="Failed")),"Check inputs","OK")</x:f>
        <x:v>OK</x:v>
      </x:c>
    </x:row>
    <x:row r="204" ht="25" customHeight="1">
      <x:c r="A204" s="1" t="str">
        <x:v>US-20-T9</x:v>
      </x:c>
      <x:c r="B204" s="1" t="str">
        <x:v>US-20</x:v>
      </x:c>
      <x:c r="C204" s="1" t="str">
        <x:v>FR-20</x:v>
      </x:c>
      <x:c r="D204" s="1" t="str">
        <x:v>CMP-4</x:v>
      </x:c>
      <x:c r="E204" s="1" t="str">
        <x:v>Paging check 9</x:v>
      </x:c>
      <x:c r="F204" s="1" t="str">
        <x:f>'Requirements'!D25</x:f>
        <x:v>Should</x:v>
      </x:c>
      <x:c r="G204" s="6" t="str">
        <x:v>Yes</x:v>
      </x:c>
      <x:c r="H204" s="6" t="str">
        <x:v>No</x:v>
      </x:c>
      <x:c r="I204" s="6" t="str">
        <x:v>Passed</x:v>
      </x:c>
      <x:c r="J204" s="1" t="str">
        <x:f>IF(AND(G204="No",OR(H204="Yes",I204="Passed",I204="Failed")),"Check inputs","OK")</x:f>
        <x:v>OK</x:v>
      </x:c>
    </x:row>
    <x:row r="205" ht="25" customHeight="1">
      <x:c r="A205" s="1" t="str">
        <x:v>US-20-T10</x:v>
      </x:c>
      <x:c r="B205" s="1" t="str">
        <x:v>US-20</x:v>
      </x:c>
      <x:c r="C205" s="1" t="str">
        <x:v>FR-20</x:v>
      </x:c>
      <x:c r="D205" s="1" t="str">
        <x:v>CMP-4</x:v>
      </x:c>
      <x:c r="E205" s="1" t="str">
        <x:v>Paging check 10</x:v>
      </x:c>
      <x:c r="F205" s="1" t="str">
        <x:f>'Requirements'!D25</x:f>
        <x:v>Should</x:v>
      </x:c>
      <x:c r="G205" s="6" t="str">
        <x:v>Yes</x:v>
      </x:c>
      <x:c r="H205" s="6" t="str">
        <x:v>No</x:v>
      </x:c>
      <x:c r="I205" s="6" t="str">
        <x:v>Passed</x:v>
      </x:c>
      <x:c r="J205" s="1" t="str">
        <x:f>IF(AND(G205="No",OR(H205="Yes",I205="Passed",I205="Failed")),"Check inputs","OK")</x:f>
        <x:v>OK</x:v>
      </x:c>
    </x:row>
    <x:row r="206" ht="25" customHeight="1">
      <x:c r="A206" s="1" t="str">
        <x:v>US-21-T1</x:v>
      </x:c>
      <x:c r="B206" s="1" t="str">
        <x:v>US-21</x:v>
      </x:c>
      <x:c r="C206" s="1" t="str">
        <x:v>FR-21</x:v>
      </x:c>
      <x:c r="D206" s="1" t="str">
        <x:v>CMP-5</x:v>
      </x:c>
      <x:c r="E206" s="1" t="str">
        <x:v>Monitoring check 1</x:v>
      </x:c>
      <x:c r="F206" s="1" t="str">
        <x:f>'Requirements'!D26</x:f>
        <x:v>Must</x:v>
      </x:c>
      <x:c r="G206" s="6" t="str">
        <x:v>Yes</x:v>
      </x:c>
      <x:c r="H206" s="6" t="str">
        <x:v>Yes</x:v>
      </x:c>
      <x:c r="I206" s="6" t="str">
        <x:v>Passed</x:v>
      </x:c>
      <x:c r="J206" s="1" t="str">
        <x:f>IF(AND(G206="No",OR(H206="Yes",I206="Passed",I206="Failed")),"Check inputs","OK")</x:f>
        <x:v>OK</x:v>
      </x:c>
    </x:row>
    <x:row r="207" ht="25" customHeight="1">
      <x:c r="A207" s="1" t="str">
        <x:v>US-21-T2</x:v>
      </x:c>
      <x:c r="B207" s="1" t="str">
        <x:v>US-21</x:v>
      </x:c>
      <x:c r="C207" s="1" t="str">
        <x:v>FR-21</x:v>
      </x:c>
      <x:c r="D207" s="1" t="str">
        <x:v>CMP-5</x:v>
      </x:c>
      <x:c r="E207" s="1" t="str">
        <x:v>Monitoring check 2</x:v>
      </x:c>
      <x:c r="F207" s="1" t="str">
        <x:f>'Requirements'!D26</x:f>
        <x:v>Must</x:v>
      </x:c>
      <x:c r="G207" s="6" t="str">
        <x:v>Yes</x:v>
      </x:c>
      <x:c r="H207" s="6" t="str">
        <x:v>Yes</x:v>
      </x:c>
      <x:c r="I207" s="6" t="str">
        <x:v>Passed</x:v>
      </x:c>
      <x:c r="J207" s="1" t="str">
        <x:f>IF(AND(G207="No",OR(H207="Yes",I207="Passed",I207="Failed")),"Check inputs","OK")</x:f>
        <x:v>OK</x:v>
      </x:c>
    </x:row>
    <x:row r="208" ht="25" customHeight="1">
      <x:c r="A208" s="1" t="str">
        <x:v>US-21-T3</x:v>
      </x:c>
      <x:c r="B208" s="1" t="str">
        <x:v>US-21</x:v>
      </x:c>
      <x:c r="C208" s="1" t="str">
        <x:v>FR-21</x:v>
      </x:c>
      <x:c r="D208" s="1" t="str">
        <x:v>CMP-5</x:v>
      </x:c>
      <x:c r="E208" s="1" t="str">
        <x:v>Monitoring check 3</x:v>
      </x:c>
      <x:c r="F208" s="1" t="str">
        <x:f>'Requirements'!D26</x:f>
        <x:v>Must</x:v>
      </x:c>
      <x:c r="G208" s="6" t="str">
        <x:v>Yes</x:v>
      </x:c>
      <x:c r="H208" s="6" t="str">
        <x:v>Yes</x:v>
      </x:c>
      <x:c r="I208" s="6" t="str">
        <x:v>Passed</x:v>
      </x:c>
      <x:c r="J208" s="1" t="str">
        <x:f>IF(AND(G208="No",OR(H208="Yes",I208="Passed",I208="Failed")),"Check inputs","OK")</x:f>
        <x:v>OK</x:v>
      </x:c>
    </x:row>
    <x:row r="209" ht="25" customHeight="1">
      <x:c r="A209" s="1" t="str">
        <x:v>US-21-T4</x:v>
      </x:c>
      <x:c r="B209" s="1" t="str">
        <x:v>US-21</x:v>
      </x:c>
      <x:c r="C209" s="1" t="str">
        <x:v>FR-21</x:v>
      </x:c>
      <x:c r="D209" s="1" t="str">
        <x:v>CMP-5</x:v>
      </x:c>
      <x:c r="E209" s="1" t="str">
        <x:v>Monitoring check 4</x:v>
      </x:c>
      <x:c r="F209" s="1" t="str">
        <x:f>'Requirements'!D26</x:f>
        <x:v>Must</x:v>
      </x:c>
      <x:c r="G209" s="6" t="str">
        <x:v>Yes</x:v>
      </x:c>
      <x:c r="H209" s="6" t="str">
        <x:v>Yes</x:v>
      </x:c>
      <x:c r="I209" s="6" t="str">
        <x:v>Passed</x:v>
      </x:c>
      <x:c r="J209" s="1" t="str">
        <x:f>IF(AND(G209="No",OR(H209="Yes",I209="Passed",I209="Failed")),"Check inputs","OK")</x:f>
        <x:v>OK</x:v>
      </x:c>
    </x:row>
    <x:row r="210" ht="25" customHeight="1">
      <x:c r="A210" s="1" t="str">
        <x:v>US-21-T5</x:v>
      </x:c>
      <x:c r="B210" s="1" t="str">
        <x:v>US-21</x:v>
      </x:c>
      <x:c r="C210" s="1" t="str">
        <x:v>FR-21</x:v>
      </x:c>
      <x:c r="D210" s="1" t="str">
        <x:v>CMP-5</x:v>
      </x:c>
      <x:c r="E210" s="1" t="str">
        <x:v>Monitoring check 5</x:v>
      </x:c>
      <x:c r="F210" s="1" t="str">
        <x:f>'Requirements'!D26</x:f>
        <x:v>Must</x:v>
      </x:c>
      <x:c r="G210" s="6" t="str">
        <x:v>Yes</x:v>
      </x:c>
      <x:c r="H210" s="6" t="str">
        <x:v>Yes</x:v>
      </x:c>
      <x:c r="I210" s="6" t="str">
        <x:v>Passed</x:v>
      </x:c>
      <x:c r="J210" s="1" t="str">
        <x:f>IF(AND(G210="No",OR(H210="Yes",I210="Passed",I210="Failed")),"Check inputs","OK")</x:f>
        <x:v>OK</x:v>
      </x:c>
    </x:row>
    <x:row r="211" ht="25" customHeight="1">
      <x:c r="A211" s="1" t="str">
        <x:v>US-21-T6</x:v>
      </x:c>
      <x:c r="B211" s="1" t="str">
        <x:v>US-21</x:v>
      </x:c>
      <x:c r="C211" s="1" t="str">
        <x:v>FR-21</x:v>
      </x:c>
      <x:c r="D211" s="1" t="str">
        <x:v>CMP-5</x:v>
      </x:c>
      <x:c r="E211" s="1" t="str">
        <x:v>Monitoring check 6</x:v>
      </x:c>
      <x:c r="F211" s="1" t="str">
        <x:f>'Requirements'!D26</x:f>
        <x:v>Must</x:v>
      </x:c>
      <x:c r="G211" s="6" t="str">
        <x:v>Yes</x:v>
      </x:c>
      <x:c r="H211" s="6" t="str">
        <x:v>Yes</x:v>
      </x:c>
      <x:c r="I211" s="6" t="str">
        <x:v>Passed</x:v>
      </x:c>
      <x:c r="J211" s="1" t="str">
        <x:f>IF(AND(G211="No",OR(H211="Yes",I211="Passed",I211="Failed")),"Check inputs","OK")</x:f>
        <x:v>OK</x:v>
      </x:c>
    </x:row>
    <x:row r="212" ht="25" customHeight="1">
      <x:c r="A212" s="1" t="str">
        <x:v>US-21-T7</x:v>
      </x:c>
      <x:c r="B212" s="1" t="str">
        <x:v>US-21</x:v>
      </x:c>
      <x:c r="C212" s="1" t="str">
        <x:v>FR-21</x:v>
      </x:c>
      <x:c r="D212" s="1" t="str">
        <x:v>CMP-5</x:v>
      </x:c>
      <x:c r="E212" s="1" t="str">
        <x:v>Monitoring check 7</x:v>
      </x:c>
      <x:c r="F212" s="1" t="str">
        <x:f>'Requirements'!D26</x:f>
        <x:v>Must</x:v>
      </x:c>
      <x:c r="G212" s="6" t="str">
        <x:v>Yes</x:v>
      </x:c>
      <x:c r="H212" s="6" t="str">
        <x:v>Yes</x:v>
      </x:c>
      <x:c r="I212" s="6" t="str">
        <x:v>Passed</x:v>
      </x:c>
      <x:c r="J212" s="1" t="str">
        <x:f>IF(AND(G212="No",OR(H212="Yes",I212="Passed",I212="Failed")),"Check inputs","OK")</x:f>
        <x:v>OK</x:v>
      </x:c>
    </x:row>
    <x:row r="213" ht="25" customHeight="1">
      <x:c r="A213" s="1" t="str">
        <x:v>US-21-T8</x:v>
      </x:c>
      <x:c r="B213" s="1" t="str">
        <x:v>US-21</x:v>
      </x:c>
      <x:c r="C213" s="1" t="str">
        <x:v>FR-21</x:v>
      </x:c>
      <x:c r="D213" s="1" t="str">
        <x:v>CMP-5</x:v>
      </x:c>
      <x:c r="E213" s="1" t="str">
        <x:v>Monitoring check 8</x:v>
      </x:c>
      <x:c r="F213" s="1" t="str">
        <x:f>'Requirements'!D26</x:f>
        <x:v>Must</x:v>
      </x:c>
      <x:c r="G213" s="6" t="str">
        <x:v>Yes</x:v>
      </x:c>
      <x:c r="H213" s="6" t="str">
        <x:v>Yes</x:v>
      </x:c>
      <x:c r="I213" s="6" t="str">
        <x:v>Passed</x:v>
      </x:c>
      <x:c r="J213" s="1" t="str">
        <x:f>IF(AND(G213="No",OR(H213="Yes",I213="Passed",I213="Failed")),"Check inputs","OK")</x:f>
        <x:v>OK</x:v>
      </x:c>
    </x:row>
    <x:row r="214" ht="25" customHeight="1">
      <x:c r="A214" s="1" t="str">
        <x:v>US-21-T9</x:v>
      </x:c>
      <x:c r="B214" s="1" t="str">
        <x:v>US-21</x:v>
      </x:c>
      <x:c r="C214" s="1" t="str">
        <x:v>FR-21</x:v>
      </x:c>
      <x:c r="D214" s="1" t="str">
        <x:v>CMP-5</x:v>
      </x:c>
      <x:c r="E214" s="1" t="str">
        <x:v>Monitoring check 9</x:v>
      </x:c>
      <x:c r="F214" s="1" t="str">
        <x:f>'Requirements'!D26</x:f>
        <x:v>Must</x:v>
      </x:c>
      <x:c r="G214" s="6" t="str">
        <x:v>Yes</x:v>
      </x:c>
      <x:c r="H214" s="6" t="str">
        <x:v>Yes</x:v>
      </x:c>
      <x:c r="I214" s="6" t="str">
        <x:v>Passed</x:v>
      </x:c>
      <x:c r="J214" s="1" t="str">
        <x:f>IF(AND(G214="No",OR(H214="Yes",I214="Passed",I214="Failed")),"Check inputs","OK")</x:f>
        <x:v>OK</x:v>
      </x:c>
    </x:row>
    <x:row r="215" ht="25" customHeight="1">
      <x:c r="A215" s="1" t="str">
        <x:v>US-21-T10</x:v>
      </x:c>
      <x:c r="B215" s="1" t="str">
        <x:v>US-21</x:v>
      </x:c>
      <x:c r="C215" s="1" t="str">
        <x:v>FR-21</x:v>
      </x:c>
      <x:c r="D215" s="1" t="str">
        <x:v>CMP-5</x:v>
      </x:c>
      <x:c r="E215" s="1" t="str">
        <x:v>Monitoring check 10</x:v>
      </x:c>
      <x:c r="F215" s="1" t="str">
        <x:f>'Requirements'!D26</x:f>
        <x:v>Must</x:v>
      </x:c>
      <x:c r="G215" s="6" t="str">
        <x:v>Yes</x:v>
      </x:c>
      <x:c r="H215" s="6" t="str">
        <x:v>Yes</x:v>
      </x:c>
      <x:c r="I215" s="6" t="str">
        <x:v>Passed</x:v>
      </x:c>
      <x:c r="J215" s="1" t="str">
        <x:f>IF(AND(G215="No",OR(H215="Yes",I215="Passed",I215="Failed")),"Check inputs","OK")</x:f>
        <x:v>OK</x:v>
      </x:c>
    </x:row>
    <x:row r="216" ht="25" customHeight="1">
      <x:c r="A216" s="1" t="str">
        <x:v>US-22-T1</x:v>
      </x:c>
      <x:c r="B216" s="1" t="str">
        <x:v>US-22</x:v>
      </x:c>
      <x:c r="C216" s="1" t="str">
        <x:v>FR-22</x:v>
      </x:c>
      <x:c r="D216" s="1" t="str">
        <x:v>CMP-5</x:v>
      </x:c>
      <x:c r="E216" s="1" t="str">
        <x:v>Monitoring check 1</x:v>
      </x:c>
      <x:c r="F216" s="1" t="str">
        <x:f>'Requirements'!D27</x:f>
        <x:v>Must</x:v>
      </x:c>
      <x:c r="G216" s="6" t="str">
        <x:v>Yes</x:v>
      </x:c>
      <x:c r="H216" s="6" t="str">
        <x:v>No</x:v>
      </x:c>
      <x:c r="I216" s="6" t="str">
        <x:v>Passed</x:v>
      </x:c>
      <x:c r="J216" s="1" t="str">
        <x:f>IF(AND(G216="No",OR(H216="Yes",I216="Passed",I216="Failed")),"Check inputs","OK")</x:f>
        <x:v>OK</x:v>
      </x:c>
    </x:row>
    <x:row r="217" ht="25" customHeight="1">
      <x:c r="A217" s="1" t="str">
        <x:v>US-22-T2</x:v>
      </x:c>
      <x:c r="B217" s="1" t="str">
        <x:v>US-22</x:v>
      </x:c>
      <x:c r="C217" s="1" t="str">
        <x:v>FR-22</x:v>
      </x:c>
      <x:c r="D217" s="1" t="str">
        <x:v>CMP-5</x:v>
      </x:c>
      <x:c r="E217" s="1" t="str">
        <x:v>Monitoring check 2</x:v>
      </x:c>
      <x:c r="F217" s="1" t="str">
        <x:f>'Requirements'!D27</x:f>
        <x:v>Must</x:v>
      </x:c>
      <x:c r="G217" s="6" t="str">
        <x:v>Yes</x:v>
      </x:c>
      <x:c r="H217" s="6" t="str">
        <x:v>No</x:v>
      </x:c>
      <x:c r="I217" s="6" t="str">
        <x:v>Passed</x:v>
      </x:c>
      <x:c r="J217" s="1" t="str">
        <x:f>IF(AND(G217="No",OR(H217="Yes",I217="Passed",I217="Failed")),"Check inputs","OK")</x:f>
        <x:v>OK</x:v>
      </x:c>
    </x:row>
    <x:row r="218" ht="25" customHeight="1">
      <x:c r="A218" s="1" t="str">
        <x:v>US-22-T3</x:v>
      </x:c>
      <x:c r="B218" s="1" t="str">
        <x:v>US-22</x:v>
      </x:c>
      <x:c r="C218" s="1" t="str">
        <x:v>FR-22</x:v>
      </x:c>
      <x:c r="D218" s="1" t="str">
        <x:v>CMP-5</x:v>
      </x:c>
      <x:c r="E218" s="1" t="str">
        <x:v>Monitoring check 3</x:v>
      </x:c>
      <x:c r="F218" s="1" t="str">
        <x:f>'Requirements'!D27</x:f>
        <x:v>Must</x:v>
      </x:c>
      <x:c r="G218" s="6" t="str">
        <x:v>Yes</x:v>
      </x:c>
      <x:c r="H218" s="6" t="str">
        <x:v>No</x:v>
      </x:c>
      <x:c r="I218" s="6" t="str">
        <x:v>Passed</x:v>
      </x:c>
      <x:c r="J218" s="1" t="str">
        <x:f>IF(AND(G218="No",OR(H218="Yes",I218="Passed",I218="Failed")),"Check inputs","OK")</x:f>
        <x:v>OK</x:v>
      </x:c>
    </x:row>
    <x:row r="219" ht="25" customHeight="1">
      <x:c r="A219" s="1" t="str">
        <x:v>US-22-T4</x:v>
      </x:c>
      <x:c r="B219" s="1" t="str">
        <x:v>US-22</x:v>
      </x:c>
      <x:c r="C219" s="1" t="str">
        <x:v>FR-22</x:v>
      </x:c>
      <x:c r="D219" s="1" t="str">
        <x:v>CMP-5</x:v>
      </x:c>
      <x:c r="E219" s="1" t="str">
        <x:v>Monitoring check 4</x:v>
      </x:c>
      <x:c r="F219" s="1" t="str">
        <x:f>'Requirements'!D27</x:f>
        <x:v>Must</x:v>
      </x:c>
      <x:c r="G219" s="6" t="str">
        <x:v>Yes</x:v>
      </x:c>
      <x:c r="H219" s="6" t="str">
        <x:v>No</x:v>
      </x:c>
      <x:c r="I219" s="6" t="str">
        <x:v>Passed</x:v>
      </x:c>
      <x:c r="J219" s="1" t="str">
        <x:f>IF(AND(G219="No",OR(H219="Yes",I219="Passed",I219="Failed")),"Check inputs","OK")</x:f>
        <x:v>OK</x:v>
      </x:c>
    </x:row>
    <x:row r="220" ht="25" customHeight="1">
      <x:c r="A220" s="1" t="str">
        <x:v>US-22-T5</x:v>
      </x:c>
      <x:c r="B220" s="1" t="str">
        <x:v>US-22</x:v>
      </x:c>
      <x:c r="C220" s="1" t="str">
        <x:v>FR-22</x:v>
      </x:c>
      <x:c r="D220" s="1" t="str">
        <x:v>CMP-5</x:v>
      </x:c>
      <x:c r="E220" s="1" t="str">
        <x:v>Monitoring check 5</x:v>
      </x:c>
      <x:c r="F220" s="1" t="str">
        <x:f>'Requirements'!D27</x:f>
        <x:v>Must</x:v>
      </x:c>
      <x:c r="G220" s="6" t="str">
        <x:v>Yes</x:v>
      </x:c>
      <x:c r="H220" s="6" t="str">
        <x:v>No</x:v>
      </x:c>
      <x:c r="I220" s="6" t="str">
        <x:v>Passed</x:v>
      </x:c>
      <x:c r="J220" s="1" t="str">
        <x:f>IF(AND(G220="No",OR(H220="Yes",I220="Passed",I220="Failed")),"Check inputs","OK")</x:f>
        <x:v>OK</x:v>
      </x:c>
    </x:row>
    <x:row r="221" ht="25" customHeight="1">
      <x:c r="A221" s="1" t="str">
        <x:v>US-22-T6</x:v>
      </x:c>
      <x:c r="B221" s="1" t="str">
        <x:v>US-22</x:v>
      </x:c>
      <x:c r="C221" s="1" t="str">
        <x:v>FR-22</x:v>
      </x:c>
      <x:c r="D221" s="1" t="str">
        <x:v>CMP-5</x:v>
      </x:c>
      <x:c r="E221" s="1" t="str">
        <x:v>Monitoring check 6</x:v>
      </x:c>
      <x:c r="F221" s="1" t="str">
        <x:f>'Requirements'!D27</x:f>
        <x:v>Must</x:v>
      </x:c>
      <x:c r="G221" s="6" t="str">
        <x:v>Yes</x:v>
      </x:c>
      <x:c r="H221" s="6" t="str">
        <x:v>No</x:v>
      </x:c>
      <x:c r="I221" s="6" t="str">
        <x:v>Blocked</x:v>
      </x:c>
      <x:c r="J221" s="1" t="str">
        <x:f>IF(AND(G221="No",OR(H221="Yes",I221="Passed",I221="Failed")),"Check inputs","OK")</x:f>
        <x:v>OK</x:v>
      </x:c>
    </x:row>
    <x:row r="222" ht="25" customHeight="1">
      <x:c r="A222" s="1" t="str">
        <x:v>US-22-T7</x:v>
      </x:c>
      <x:c r="B222" s="1" t="str">
        <x:v>US-22</x:v>
      </x:c>
      <x:c r="C222" s="1" t="str">
        <x:v>FR-22</x:v>
      </x:c>
      <x:c r="D222" s="1" t="str">
        <x:v>CMP-5</x:v>
      </x:c>
      <x:c r="E222" s="1" t="str">
        <x:v>Monitoring check 7</x:v>
      </x:c>
      <x:c r="F222" s="1" t="str">
        <x:f>'Requirements'!D27</x:f>
        <x:v>Must</x:v>
      </x:c>
      <x:c r="G222" s="6" t="str">
        <x:v>Yes</x:v>
      </x:c>
      <x:c r="H222" s="6" t="str">
        <x:v>No</x:v>
      </x:c>
      <x:c r="I222" s="6" t="str">
        <x:v>Blocked</x:v>
      </x:c>
      <x:c r="J222" s="1" t="str">
        <x:f>IF(AND(G222="No",OR(H222="Yes",I222="Passed",I222="Failed")),"Check inputs","OK")</x:f>
        <x:v>OK</x:v>
      </x:c>
    </x:row>
    <x:row r="223" ht="25" customHeight="1">
      <x:c r="A223" s="1" t="str">
        <x:v>US-22-T8</x:v>
      </x:c>
      <x:c r="B223" s="1" t="str">
        <x:v>US-22</x:v>
      </x:c>
      <x:c r="C223" s="1" t="str">
        <x:v>FR-22</x:v>
      </x:c>
      <x:c r="D223" s="1" t="str">
        <x:v>CMP-5</x:v>
      </x:c>
      <x:c r="E223" s="1" t="str">
        <x:v>Monitoring check 8</x:v>
      </x:c>
      <x:c r="F223" s="1" t="str">
        <x:f>'Requirements'!D27</x:f>
        <x:v>Must</x:v>
      </x:c>
      <x:c r="G223" s="6" t="str">
        <x:v>Yes</x:v>
      </x:c>
      <x:c r="H223" s="6" t="str">
        <x:v>No</x:v>
      </x:c>
      <x:c r="I223" s="6" t="str">
        <x:v>Blocked</x:v>
      </x:c>
      <x:c r="J223" s="1" t="str">
        <x:f>IF(AND(G223="No",OR(H223="Yes",I223="Passed",I223="Failed")),"Check inputs","OK")</x:f>
        <x:v>OK</x:v>
      </x:c>
    </x:row>
    <x:row r="224" ht="25" customHeight="1">
      <x:c r="A224" s="1" t="str">
        <x:v>US-22-T9</x:v>
      </x:c>
      <x:c r="B224" s="1" t="str">
        <x:v>US-22</x:v>
      </x:c>
      <x:c r="C224" s="1" t="str">
        <x:v>FR-22</x:v>
      </x:c>
      <x:c r="D224" s="1" t="str">
        <x:v>CMP-5</x:v>
      </x:c>
      <x:c r="E224" s="1" t="str">
        <x:v>Monitoring check 9</x:v>
      </x:c>
      <x:c r="F224" s="1" t="str">
        <x:f>'Requirements'!D27</x:f>
        <x:v>Must</x:v>
      </x:c>
      <x:c r="G224" s="6" t="str">
        <x:v>Yes</x:v>
      </x:c>
      <x:c r="H224" s="6" t="str">
        <x:v>No</x:v>
      </x:c>
      <x:c r="I224" s="6" t="str">
        <x:v>Blocked</x:v>
      </x:c>
      <x:c r="J224" s="1" t="str">
        <x:f>IF(AND(G224="No",OR(H224="Yes",I224="Passed",I224="Failed")),"Check inputs","OK")</x:f>
        <x:v>OK</x:v>
      </x:c>
    </x:row>
    <x:row r="225" ht="25" customHeight="1">
      <x:c r="A225" s="1" t="str">
        <x:v>US-22-T10</x:v>
      </x:c>
      <x:c r="B225" s="1" t="str">
        <x:v>US-22</x:v>
      </x:c>
      <x:c r="C225" s="1" t="str">
        <x:v>FR-22</x:v>
      </x:c>
      <x:c r="D225" s="1" t="str">
        <x:v>CMP-5</x:v>
      </x:c>
      <x:c r="E225" s="1" t="str">
        <x:v>Monitoring check 10</x:v>
      </x:c>
      <x:c r="F225" s="1" t="str">
        <x:f>'Requirements'!D27</x:f>
        <x:v>Must</x:v>
      </x:c>
      <x:c r="G225" s="6" t="str">
        <x:v>Yes</x:v>
      </x:c>
      <x:c r="H225" s="6" t="str">
        <x:v>No</x:v>
      </x:c>
      <x:c r="I225" s="6" t="str">
        <x:v>Blocked</x:v>
      </x:c>
      <x:c r="J225" s="1" t="str">
        <x:f>IF(AND(G225="No",OR(H225="Yes",I225="Passed",I225="Failed")),"Check inputs","OK")</x:f>
        <x:v>OK</x:v>
      </x:c>
    </x:row>
    <x:row r="226" ht="25" customHeight="1">
      <x:c r="A226" s="1" t="str">
        <x:v>US-23-T1</x:v>
      </x:c>
      <x:c r="B226" s="1" t="str">
        <x:v>US-23</x:v>
      </x:c>
      <x:c r="C226" s="1" t="str">
        <x:v>FR-23</x:v>
      </x:c>
      <x:c r="D226" s="1" t="str">
        <x:v>CMP-5</x:v>
      </x:c>
      <x:c r="E226" s="1" t="str">
        <x:v>Monitoring check 1</x:v>
      </x:c>
      <x:c r="F226" s="1" t="str">
        <x:f>'Requirements'!D28</x:f>
        <x:v>Must</x:v>
      </x:c>
      <x:c r="G226" s="6" t="str">
        <x:v>Yes</x:v>
      </x:c>
      <x:c r="H226" s="6" t="str">
        <x:v>No</x:v>
      </x:c>
      <x:c r="I226" s="6" t="str">
        <x:v>Not run</x:v>
      </x:c>
      <x:c r="J226" s="1" t="str">
        <x:f>IF(AND(G226="No",OR(H226="Yes",I226="Passed",I226="Failed")),"Check inputs","OK")</x:f>
        <x:v>OK</x:v>
      </x:c>
    </x:row>
    <x:row r="227" ht="25" customHeight="1">
      <x:c r="A227" s="1" t="str">
        <x:v>US-23-T2</x:v>
      </x:c>
      <x:c r="B227" s="1" t="str">
        <x:v>US-23</x:v>
      </x:c>
      <x:c r="C227" s="1" t="str">
        <x:v>FR-23</x:v>
      </x:c>
      <x:c r="D227" s="1" t="str">
        <x:v>CMP-5</x:v>
      </x:c>
      <x:c r="E227" s="1" t="str">
        <x:v>Monitoring check 2</x:v>
      </x:c>
      <x:c r="F227" s="1" t="str">
        <x:f>'Requirements'!D28</x:f>
        <x:v>Must</x:v>
      </x:c>
      <x:c r="G227" s="6" t="str">
        <x:v>Yes</x:v>
      </x:c>
      <x:c r="H227" s="6" t="str">
        <x:v>No</x:v>
      </x:c>
      <x:c r="I227" s="6" t="str">
        <x:v>Not run</x:v>
      </x:c>
      <x:c r="J227" s="1" t="str">
        <x:f>IF(AND(G227="No",OR(H227="Yes",I227="Passed",I227="Failed")),"Check inputs","OK")</x:f>
        <x:v>OK</x:v>
      </x:c>
    </x:row>
    <x:row r="228" ht="25" customHeight="1">
      <x:c r="A228" s="1" t="str">
        <x:v>US-23-T3</x:v>
      </x:c>
      <x:c r="B228" s="1" t="str">
        <x:v>US-23</x:v>
      </x:c>
      <x:c r="C228" s="1" t="str">
        <x:v>FR-23</x:v>
      </x:c>
      <x:c r="D228" s="1" t="str">
        <x:v>CMP-5</x:v>
      </x:c>
      <x:c r="E228" s="1" t="str">
        <x:v>Monitoring check 3</x:v>
      </x:c>
      <x:c r="F228" s="1" t="str">
        <x:f>'Requirements'!D28</x:f>
        <x:v>Must</x:v>
      </x:c>
      <x:c r="G228" s="6" t="str">
        <x:v>Yes</x:v>
      </x:c>
      <x:c r="H228" s="6" t="str">
        <x:v>No</x:v>
      </x:c>
      <x:c r="I228" s="6" t="str">
        <x:v>Not run</x:v>
      </x:c>
      <x:c r="J228" s="1" t="str">
        <x:f>IF(AND(G228="No",OR(H228="Yes",I228="Passed",I228="Failed")),"Check inputs","OK")</x:f>
        <x:v>OK</x:v>
      </x:c>
    </x:row>
    <x:row r="229" ht="25" customHeight="1">
      <x:c r="A229" s="1" t="str">
        <x:v>US-23-T4</x:v>
      </x:c>
      <x:c r="B229" s="1" t="str">
        <x:v>US-23</x:v>
      </x:c>
      <x:c r="C229" s="1" t="str">
        <x:v>FR-23</x:v>
      </x:c>
      <x:c r="D229" s="1" t="str">
        <x:v>CMP-5</x:v>
      </x:c>
      <x:c r="E229" s="1" t="str">
        <x:v>Monitoring check 4</x:v>
      </x:c>
      <x:c r="F229" s="1" t="str">
        <x:f>'Requirements'!D28</x:f>
        <x:v>Must</x:v>
      </x:c>
      <x:c r="G229" s="6" t="str">
        <x:v>Yes</x:v>
      </x:c>
      <x:c r="H229" s="6" t="str">
        <x:v>No</x:v>
      </x:c>
      <x:c r="I229" s="6" t="str">
        <x:v>Not run</x:v>
      </x:c>
      <x:c r="J229" s="1" t="str">
        <x:f>IF(AND(G229="No",OR(H229="Yes",I229="Passed",I229="Failed")),"Check inputs","OK")</x:f>
        <x:v>OK</x:v>
      </x:c>
    </x:row>
    <x:row r="230" ht="25" customHeight="1">
      <x:c r="A230" s="1" t="str">
        <x:v>US-23-T5</x:v>
      </x:c>
      <x:c r="B230" s="1" t="str">
        <x:v>US-23</x:v>
      </x:c>
      <x:c r="C230" s="1" t="str">
        <x:v>FR-23</x:v>
      </x:c>
      <x:c r="D230" s="1" t="str">
        <x:v>CMP-5</x:v>
      </x:c>
      <x:c r="E230" s="1" t="str">
        <x:v>Monitoring check 5</x:v>
      </x:c>
      <x:c r="F230" s="1" t="str">
        <x:f>'Requirements'!D28</x:f>
        <x:v>Must</x:v>
      </x:c>
      <x:c r="G230" s="6" t="str">
        <x:v>Yes</x:v>
      </x:c>
      <x:c r="H230" s="6" t="str">
        <x:v>No</x:v>
      </x:c>
      <x:c r="I230" s="6" t="str">
        <x:v>Not run</x:v>
      </x:c>
      <x:c r="J230" s="1" t="str">
        <x:f>IF(AND(G230="No",OR(H230="Yes",I230="Passed",I230="Failed")),"Check inputs","OK")</x:f>
        <x:v>OK</x:v>
      </x:c>
    </x:row>
    <x:row r="231" ht="25" customHeight="1">
      <x:c r="A231" s="1" t="str">
        <x:v>US-23-T6</x:v>
      </x:c>
      <x:c r="B231" s="1" t="str">
        <x:v>US-23</x:v>
      </x:c>
      <x:c r="C231" s="1" t="str">
        <x:v>FR-23</x:v>
      </x:c>
      <x:c r="D231" s="1" t="str">
        <x:v>CMP-5</x:v>
      </x:c>
      <x:c r="E231" s="1" t="str">
        <x:v>Monitoring check 6</x:v>
      </x:c>
      <x:c r="F231" s="1" t="str">
        <x:f>'Requirements'!D28</x:f>
        <x:v>Must</x:v>
      </x:c>
      <x:c r="G231" s="6" t="str">
        <x:v>Yes</x:v>
      </x:c>
      <x:c r="H231" s="6" t="str">
        <x:v>No</x:v>
      </x:c>
      <x:c r="I231" s="6" t="str">
        <x:v>Not run</x:v>
      </x:c>
      <x:c r="J231" s="1" t="str">
        <x:f>IF(AND(G231="No",OR(H231="Yes",I231="Passed",I231="Failed")),"Check inputs","OK")</x:f>
        <x:v>OK</x:v>
      </x:c>
    </x:row>
    <x:row r="232" ht="25" customHeight="1">
      <x:c r="A232" s="1" t="str">
        <x:v>US-23-T7</x:v>
      </x:c>
      <x:c r="B232" s="1" t="str">
        <x:v>US-23</x:v>
      </x:c>
      <x:c r="C232" s="1" t="str">
        <x:v>FR-23</x:v>
      </x:c>
      <x:c r="D232" s="1" t="str">
        <x:v>CMP-5</x:v>
      </x:c>
      <x:c r="E232" s="1" t="str">
        <x:v>Monitoring check 7</x:v>
      </x:c>
      <x:c r="F232" s="1" t="str">
        <x:f>'Requirements'!D28</x:f>
        <x:v>Must</x:v>
      </x:c>
      <x:c r="G232" s="6" t="str">
        <x:v>Yes</x:v>
      </x:c>
      <x:c r="H232" s="6" t="str">
        <x:v>No</x:v>
      </x:c>
      <x:c r="I232" s="6" t="str">
        <x:v>Not run</x:v>
      </x:c>
      <x:c r="J232" s="1" t="str">
        <x:f>IF(AND(G232="No",OR(H232="Yes",I232="Passed",I232="Failed")),"Check inputs","OK")</x:f>
        <x:v>OK</x:v>
      </x:c>
    </x:row>
    <x:row r="233" ht="25" customHeight="1">
      <x:c r="A233" s="1" t="str">
        <x:v>US-23-T8</x:v>
      </x:c>
      <x:c r="B233" s="1" t="str">
        <x:v>US-23</x:v>
      </x:c>
      <x:c r="C233" s="1" t="str">
        <x:v>FR-23</x:v>
      </x:c>
      <x:c r="D233" s="1" t="str">
        <x:v>CMP-5</x:v>
      </x:c>
      <x:c r="E233" s="1" t="str">
        <x:v>Monitoring check 8</x:v>
      </x:c>
      <x:c r="F233" s="1" t="str">
        <x:f>'Requirements'!D28</x:f>
        <x:v>Must</x:v>
      </x:c>
      <x:c r="G233" s="6" t="str">
        <x:v>Yes</x:v>
      </x:c>
      <x:c r="H233" s="6" t="str">
        <x:v>No</x:v>
      </x:c>
      <x:c r="I233" s="6" t="str">
        <x:v>Not run</x:v>
      </x:c>
      <x:c r="J233" s="1" t="str">
        <x:f>IF(AND(G233="No",OR(H233="Yes",I233="Passed",I233="Failed")),"Check inputs","OK")</x:f>
        <x:v>OK</x:v>
      </x:c>
    </x:row>
    <x:row r="234" ht="25" customHeight="1">
      <x:c r="A234" s="1" t="str">
        <x:v>US-23-T9</x:v>
      </x:c>
      <x:c r="B234" s="1" t="str">
        <x:v>US-23</x:v>
      </x:c>
      <x:c r="C234" s="1" t="str">
        <x:v>FR-23</x:v>
      </x:c>
      <x:c r="D234" s="1" t="str">
        <x:v>CMP-5</x:v>
      </x:c>
      <x:c r="E234" s="1" t="str">
        <x:v>Monitoring check 9</x:v>
      </x:c>
      <x:c r="F234" s="1" t="str">
        <x:f>'Requirements'!D28</x:f>
        <x:v>Must</x:v>
      </x:c>
      <x:c r="G234" s="6" t="str">
        <x:v>Yes</x:v>
      </x:c>
      <x:c r="H234" s="6" t="str">
        <x:v>No</x:v>
      </x:c>
      <x:c r="I234" s="6" t="str">
        <x:v>Not run</x:v>
      </x:c>
      <x:c r="J234" s="1" t="str">
        <x:f>IF(AND(G234="No",OR(H234="Yes",I234="Passed",I234="Failed")),"Check inputs","OK")</x:f>
        <x:v>OK</x:v>
      </x:c>
    </x:row>
    <x:row r="235" ht="25" customHeight="1">
      <x:c r="A235" s="1" t="str">
        <x:v>US-23-T10</x:v>
      </x:c>
      <x:c r="B235" s="1" t="str">
        <x:v>US-23</x:v>
      </x:c>
      <x:c r="C235" s="1" t="str">
        <x:v>FR-23</x:v>
      </x:c>
      <x:c r="D235" s="1" t="str">
        <x:v>CMP-5</x:v>
      </x:c>
      <x:c r="E235" s="1" t="str">
        <x:v>Monitoring check 10</x:v>
      </x:c>
      <x:c r="F235" s="1" t="str">
        <x:f>'Requirements'!D28</x:f>
        <x:v>Must</x:v>
      </x:c>
      <x:c r="G235" s="6" t="str">
        <x:v>Yes</x:v>
      </x:c>
      <x:c r="H235" s="6" t="str">
        <x:v>No</x:v>
      </x:c>
      <x:c r="I235" s="6" t="str">
        <x:v>Not run</x:v>
      </x:c>
      <x:c r="J235" s="1" t="str">
        <x:f>IF(AND(G235="No",OR(H235="Yes",I235="Passed",I235="Failed")),"Check inputs","OK")</x:f>
        <x:v>OK</x:v>
      </x:c>
    </x:row>
    <x:row r="236" ht="25" customHeight="1">
      <x:c r="A236" s="1" t="str">
        <x:v>US-24-T1</x:v>
      </x:c>
      <x:c r="B236" s="1" t="str">
        <x:v>US-24</x:v>
      </x:c>
      <x:c r="C236" s="1" t="str">
        <x:v>FR-24</x:v>
      </x:c>
      <x:c r="D236" s="1" t="str">
        <x:v>CMP-5</x:v>
      </x:c>
      <x:c r="E236" s="1" t="str">
        <x:v>Monitoring check 1</x:v>
      </x:c>
      <x:c r="F236" s="1" t="str">
        <x:f>'Requirements'!D29</x:f>
        <x:v>Must</x:v>
      </x:c>
      <x:c r="G236" s="6" t="str">
        <x:v>Yes</x:v>
      </x:c>
      <x:c r="H236" s="6" t="str">
        <x:v>Yes</x:v>
      </x:c>
      <x:c r="I236" s="6" t="str">
        <x:v>Passed</x:v>
      </x:c>
      <x:c r="J236" s="1" t="str">
        <x:f>IF(AND(G236="No",OR(H236="Yes",I236="Passed",I236="Failed")),"Check inputs","OK")</x:f>
        <x:v>OK</x:v>
      </x:c>
    </x:row>
    <x:row r="237" ht="25" customHeight="1">
      <x:c r="A237" s="1" t="str">
        <x:v>US-24-T2</x:v>
      </x:c>
      <x:c r="B237" s="1" t="str">
        <x:v>US-24</x:v>
      </x:c>
      <x:c r="C237" s="1" t="str">
        <x:v>FR-24</x:v>
      </x:c>
      <x:c r="D237" s="1" t="str">
        <x:v>CMP-5</x:v>
      </x:c>
      <x:c r="E237" s="1" t="str">
        <x:v>Monitoring check 2</x:v>
      </x:c>
      <x:c r="F237" s="1" t="str">
        <x:f>'Requirements'!D29</x:f>
        <x:v>Must</x:v>
      </x:c>
      <x:c r="G237" s="6" t="str">
        <x:v>Yes</x:v>
      </x:c>
      <x:c r="H237" s="6" t="str">
        <x:v>Yes</x:v>
      </x:c>
      <x:c r="I237" s="6" t="str">
        <x:v>Passed</x:v>
      </x:c>
      <x:c r="J237" s="1" t="str">
        <x:f>IF(AND(G237="No",OR(H237="Yes",I237="Passed",I237="Failed")),"Check inputs","OK")</x:f>
        <x:v>OK</x:v>
      </x:c>
    </x:row>
    <x:row r="238" ht="25" customHeight="1">
      <x:c r="A238" s="1" t="str">
        <x:v>US-24-T3</x:v>
      </x:c>
      <x:c r="B238" s="1" t="str">
        <x:v>US-24</x:v>
      </x:c>
      <x:c r="C238" s="1" t="str">
        <x:v>FR-24</x:v>
      </x:c>
      <x:c r="D238" s="1" t="str">
        <x:v>CMP-5</x:v>
      </x:c>
      <x:c r="E238" s="1" t="str">
        <x:v>Monitoring check 3</x:v>
      </x:c>
      <x:c r="F238" s="1" t="str">
        <x:f>'Requirements'!D29</x:f>
        <x:v>Must</x:v>
      </x:c>
      <x:c r="G238" s="6" t="str">
        <x:v>Yes</x:v>
      </x:c>
      <x:c r="H238" s="6" t="str">
        <x:v>Yes</x:v>
      </x:c>
      <x:c r="I238" s="6" t="str">
        <x:v>Passed</x:v>
      </x:c>
      <x:c r="J238" s="1" t="str">
        <x:f>IF(AND(G238="No",OR(H238="Yes",I238="Passed",I238="Failed")),"Check inputs","OK")</x:f>
        <x:v>OK</x:v>
      </x:c>
    </x:row>
    <x:row r="239" ht="25" customHeight="1">
      <x:c r="A239" s="1" t="str">
        <x:v>US-24-T4</x:v>
      </x:c>
      <x:c r="B239" s="1" t="str">
        <x:v>US-24</x:v>
      </x:c>
      <x:c r="C239" s="1" t="str">
        <x:v>FR-24</x:v>
      </x:c>
      <x:c r="D239" s="1" t="str">
        <x:v>CMP-5</x:v>
      </x:c>
      <x:c r="E239" s="1" t="str">
        <x:v>Monitoring check 4</x:v>
      </x:c>
      <x:c r="F239" s="1" t="str">
        <x:f>'Requirements'!D29</x:f>
        <x:v>Must</x:v>
      </x:c>
      <x:c r="G239" s="6" t="str">
        <x:v>Yes</x:v>
      </x:c>
      <x:c r="H239" s="6" t="str">
        <x:v>Yes</x:v>
      </x:c>
      <x:c r="I239" s="6" t="str">
        <x:v>Passed</x:v>
      </x:c>
      <x:c r="J239" s="1" t="str">
        <x:f>IF(AND(G239="No",OR(H239="Yes",I239="Passed",I239="Failed")),"Check inputs","OK")</x:f>
        <x:v>OK</x:v>
      </x:c>
    </x:row>
    <x:row r="240" ht="25" customHeight="1">
      <x:c r="A240" s="1" t="str">
        <x:v>US-24-T5</x:v>
      </x:c>
      <x:c r="B240" s="1" t="str">
        <x:v>US-24</x:v>
      </x:c>
      <x:c r="C240" s="1" t="str">
        <x:v>FR-24</x:v>
      </x:c>
      <x:c r="D240" s="1" t="str">
        <x:v>CMP-5</x:v>
      </x:c>
      <x:c r="E240" s="1" t="str">
        <x:v>Monitoring check 5</x:v>
      </x:c>
      <x:c r="F240" s="1" t="str">
        <x:f>'Requirements'!D29</x:f>
        <x:v>Must</x:v>
      </x:c>
      <x:c r="G240" s="6" t="str">
        <x:v>Yes</x:v>
      </x:c>
      <x:c r="H240" s="6" t="str">
        <x:v>Yes</x:v>
      </x:c>
      <x:c r="I240" s="6" t="str">
        <x:v>Passed</x:v>
      </x:c>
      <x:c r="J240" s="1" t="str">
        <x:f>IF(AND(G240="No",OR(H240="Yes",I240="Passed",I240="Failed")),"Check inputs","OK")</x:f>
        <x:v>OK</x:v>
      </x:c>
    </x:row>
    <x:row r="241" ht="25" customHeight="1">
      <x:c r="A241" s="1" t="str">
        <x:v>US-24-T6</x:v>
      </x:c>
      <x:c r="B241" s="1" t="str">
        <x:v>US-24</x:v>
      </x:c>
      <x:c r="C241" s="1" t="str">
        <x:v>FR-24</x:v>
      </x:c>
      <x:c r="D241" s="1" t="str">
        <x:v>CMP-5</x:v>
      </x:c>
      <x:c r="E241" s="1" t="str">
        <x:v>Monitoring check 6</x:v>
      </x:c>
      <x:c r="F241" s="1" t="str">
        <x:f>'Requirements'!D29</x:f>
        <x:v>Must</x:v>
      </x:c>
      <x:c r="G241" s="6" t="str">
        <x:v>Yes</x:v>
      </x:c>
      <x:c r="H241" s="6" t="str">
        <x:v>Yes</x:v>
      </x:c>
      <x:c r="I241" s="6" t="str">
        <x:v>Passed</x:v>
      </x:c>
      <x:c r="J241" s="1" t="str">
        <x:f>IF(AND(G241="No",OR(H241="Yes",I241="Passed",I241="Failed")),"Check inputs","OK")</x:f>
        <x:v>OK</x:v>
      </x:c>
    </x:row>
    <x:row r="242" ht="25" customHeight="1">
      <x:c r="A242" s="1" t="str">
        <x:v>US-24-T7</x:v>
      </x:c>
      <x:c r="B242" s="1" t="str">
        <x:v>US-24</x:v>
      </x:c>
      <x:c r="C242" s="1" t="str">
        <x:v>FR-24</x:v>
      </x:c>
      <x:c r="D242" s="1" t="str">
        <x:v>CMP-5</x:v>
      </x:c>
      <x:c r="E242" s="1" t="str">
        <x:v>Monitoring check 7</x:v>
      </x:c>
      <x:c r="F242" s="1" t="str">
        <x:f>'Requirements'!D29</x:f>
        <x:v>Must</x:v>
      </x:c>
      <x:c r="G242" s="6" t="str">
        <x:v>Yes</x:v>
      </x:c>
      <x:c r="H242" s="6" t="str">
        <x:v>Yes</x:v>
      </x:c>
      <x:c r="I242" s="6" t="str">
        <x:v>Passed</x:v>
      </x:c>
      <x:c r="J242" s="1" t="str">
        <x:f>IF(AND(G242="No",OR(H242="Yes",I242="Passed",I242="Failed")),"Check inputs","OK")</x:f>
        <x:v>OK</x:v>
      </x:c>
    </x:row>
    <x:row r="243" ht="25" customHeight="1">
      <x:c r="A243" s="1" t="str">
        <x:v>US-24-T8</x:v>
      </x:c>
      <x:c r="B243" s="1" t="str">
        <x:v>US-24</x:v>
      </x:c>
      <x:c r="C243" s="1" t="str">
        <x:v>FR-24</x:v>
      </x:c>
      <x:c r="D243" s="1" t="str">
        <x:v>CMP-5</x:v>
      </x:c>
      <x:c r="E243" s="1" t="str">
        <x:v>Monitoring check 8</x:v>
      </x:c>
      <x:c r="F243" s="1" t="str">
        <x:f>'Requirements'!D29</x:f>
        <x:v>Must</x:v>
      </x:c>
      <x:c r="G243" s="6" t="str">
        <x:v>Yes</x:v>
      </x:c>
      <x:c r="H243" s="6" t="str">
        <x:v>Yes</x:v>
      </x:c>
      <x:c r="I243" s="6" t="str">
        <x:v>Passed</x:v>
      </x:c>
      <x:c r="J243" s="1" t="str">
        <x:f>IF(AND(G243="No",OR(H243="Yes",I243="Passed",I243="Failed")),"Check inputs","OK")</x:f>
        <x:v>OK</x:v>
      </x:c>
    </x:row>
    <x:row r="244" ht="25" customHeight="1">
      <x:c r="A244" s="1" t="str">
        <x:v>US-24-T9</x:v>
      </x:c>
      <x:c r="B244" s="1" t="str">
        <x:v>US-24</x:v>
      </x:c>
      <x:c r="C244" s="1" t="str">
        <x:v>FR-24</x:v>
      </x:c>
      <x:c r="D244" s="1" t="str">
        <x:v>CMP-5</x:v>
      </x:c>
      <x:c r="E244" s="1" t="str">
        <x:v>Monitoring check 9</x:v>
      </x:c>
      <x:c r="F244" s="1" t="str">
        <x:f>'Requirements'!D29</x:f>
        <x:v>Must</x:v>
      </x:c>
      <x:c r="G244" s="6" t="str">
        <x:v>Yes</x:v>
      </x:c>
      <x:c r="H244" s="6" t="str">
        <x:v>Yes</x:v>
      </x:c>
      <x:c r="I244" s="6" t="str">
        <x:v>Passed</x:v>
      </x:c>
      <x:c r="J244" s="1" t="str">
        <x:f>IF(AND(G244="No",OR(H244="Yes",I244="Passed",I244="Failed")),"Check inputs","OK")</x:f>
        <x:v>OK</x:v>
      </x:c>
    </x:row>
    <x:row r="245" ht="25" customHeight="1">
      <x:c r="A245" s="1" t="str">
        <x:v>US-24-T10</x:v>
      </x:c>
      <x:c r="B245" s="1" t="str">
        <x:v>US-24</x:v>
      </x:c>
      <x:c r="C245" s="1" t="str">
        <x:v>FR-24</x:v>
      </x:c>
      <x:c r="D245" s="1" t="str">
        <x:v>CMP-5</x:v>
      </x:c>
      <x:c r="E245" s="1" t="str">
        <x:v>Monitoring check 10</x:v>
      </x:c>
      <x:c r="F245" s="1" t="str">
        <x:f>'Requirements'!D29</x:f>
        <x:v>Must</x:v>
      </x:c>
      <x:c r="G245" s="6" t="str">
        <x:v>Yes</x:v>
      </x:c>
      <x:c r="H245" s="6" t="str">
        <x:v>Yes</x:v>
      </x:c>
      <x:c r="I245" s="6" t="str">
        <x:v>Passed</x:v>
      </x:c>
      <x:c r="J245" s="1" t="str">
        <x:f>IF(AND(G245="No",OR(H245="Yes",I245="Passed",I245="Failed")),"Check inputs","OK")</x:f>
        <x:v>OK</x:v>
      </x:c>
    </x:row>
    <x:row r="246" ht="25" customHeight="1">
      <x:c r="A246" s="1" t="str">
        <x:v>US-25-T1</x:v>
      </x:c>
      <x:c r="B246" s="1" t="str">
        <x:v>US-25</x:v>
      </x:c>
      <x:c r="C246" s="1" t="str">
        <x:v>FR-25</x:v>
      </x:c>
      <x:c r="D246" s="1" t="str">
        <x:v>CMP-5</x:v>
      </x:c>
      <x:c r="E246" s="1" t="str">
        <x:v>Monitoring check 1</x:v>
      </x:c>
      <x:c r="F246" s="1" t="str">
        <x:f>'Requirements'!D30</x:f>
        <x:v>Should</x:v>
      </x:c>
      <x:c r="G246" s="6" t="str">
        <x:v>Yes</x:v>
      </x:c>
      <x:c r="H246" s="6" t="str">
        <x:v>No</x:v>
      </x:c>
      <x:c r="I246" s="6" t="str">
        <x:v>Passed</x:v>
      </x:c>
      <x:c r="J246" s="1" t="str">
        <x:f>IF(AND(G246="No",OR(H246="Yes",I246="Passed",I246="Failed")),"Check inputs","OK")</x:f>
        <x:v>OK</x:v>
      </x:c>
    </x:row>
    <x:row r="247" ht="25" customHeight="1">
      <x:c r="A247" s="1" t="str">
        <x:v>US-25-T2</x:v>
      </x:c>
      <x:c r="B247" s="1" t="str">
        <x:v>US-25</x:v>
      </x:c>
      <x:c r="C247" s="1" t="str">
        <x:v>FR-25</x:v>
      </x:c>
      <x:c r="D247" s="1" t="str">
        <x:v>CMP-5</x:v>
      </x:c>
      <x:c r="E247" s="1" t="str">
        <x:v>Monitoring check 2</x:v>
      </x:c>
      <x:c r="F247" s="1" t="str">
        <x:f>'Requirements'!D30</x:f>
        <x:v>Should</x:v>
      </x:c>
      <x:c r="G247" s="6" t="str">
        <x:v>Yes</x:v>
      </x:c>
      <x:c r="H247" s="6" t="str">
        <x:v>No</x:v>
      </x:c>
      <x:c r="I247" s="6" t="str">
        <x:v>Passed</x:v>
      </x:c>
      <x:c r="J247" s="1" t="str">
        <x:f>IF(AND(G247="No",OR(H247="Yes",I247="Passed",I247="Failed")),"Check inputs","OK")</x:f>
        <x:v>OK</x:v>
      </x:c>
    </x:row>
    <x:row r="248" ht="25" customHeight="1">
      <x:c r="A248" s="1" t="str">
        <x:v>US-25-T3</x:v>
      </x:c>
      <x:c r="B248" s="1" t="str">
        <x:v>US-25</x:v>
      </x:c>
      <x:c r="C248" s="1" t="str">
        <x:v>FR-25</x:v>
      </x:c>
      <x:c r="D248" s="1" t="str">
        <x:v>CMP-5</x:v>
      </x:c>
      <x:c r="E248" s="1" t="str">
        <x:v>Monitoring check 3</x:v>
      </x:c>
      <x:c r="F248" s="1" t="str">
        <x:f>'Requirements'!D30</x:f>
        <x:v>Should</x:v>
      </x:c>
      <x:c r="G248" s="6" t="str">
        <x:v>Yes</x:v>
      </x:c>
      <x:c r="H248" s="6" t="str">
        <x:v>No</x:v>
      </x:c>
      <x:c r="I248" s="6" t="str">
        <x:v>Passed</x:v>
      </x:c>
      <x:c r="J248" s="1" t="str">
        <x:f>IF(AND(G248="No",OR(H248="Yes",I248="Passed",I248="Failed")),"Check inputs","OK")</x:f>
        <x:v>OK</x:v>
      </x:c>
    </x:row>
    <x:row r="249" ht="25" customHeight="1">
      <x:c r="A249" s="1" t="str">
        <x:v>US-25-T4</x:v>
      </x:c>
      <x:c r="B249" s="1" t="str">
        <x:v>US-25</x:v>
      </x:c>
      <x:c r="C249" s="1" t="str">
        <x:v>FR-25</x:v>
      </x:c>
      <x:c r="D249" s="1" t="str">
        <x:v>CMP-5</x:v>
      </x:c>
      <x:c r="E249" s="1" t="str">
        <x:v>Monitoring check 4</x:v>
      </x:c>
      <x:c r="F249" s="1" t="str">
        <x:f>'Requirements'!D30</x:f>
        <x:v>Should</x:v>
      </x:c>
      <x:c r="G249" s="6" t="str">
        <x:v>Yes</x:v>
      </x:c>
      <x:c r="H249" s="6" t="str">
        <x:v>No</x:v>
      </x:c>
      <x:c r="I249" s="6" t="str">
        <x:v>Passed</x:v>
      </x:c>
      <x:c r="J249" s="1" t="str">
        <x:f>IF(AND(G249="No",OR(H249="Yes",I249="Passed",I249="Failed")),"Check inputs","OK")</x:f>
        <x:v>OK</x:v>
      </x:c>
    </x:row>
    <x:row r="250" ht="25" customHeight="1">
      <x:c r="A250" s="1" t="str">
        <x:v>US-25-T5</x:v>
      </x:c>
      <x:c r="B250" s="1" t="str">
        <x:v>US-25</x:v>
      </x:c>
      <x:c r="C250" s="1" t="str">
        <x:v>FR-25</x:v>
      </x:c>
      <x:c r="D250" s="1" t="str">
        <x:v>CMP-5</x:v>
      </x:c>
      <x:c r="E250" s="1" t="str">
        <x:v>Monitoring check 5</x:v>
      </x:c>
      <x:c r="F250" s="1" t="str">
        <x:f>'Requirements'!D30</x:f>
        <x:v>Should</x:v>
      </x:c>
      <x:c r="G250" s="6" t="str">
        <x:v>Yes</x:v>
      </x:c>
      <x:c r="H250" s="6" t="str">
        <x:v>No</x:v>
      </x:c>
      <x:c r="I250" s="6" t="str">
        <x:v>Passed</x:v>
      </x:c>
      <x:c r="J250" s="1" t="str">
        <x:f>IF(AND(G250="No",OR(H250="Yes",I250="Passed",I250="Failed")),"Check inputs","OK")</x:f>
        <x:v>OK</x:v>
      </x:c>
    </x:row>
    <x:row r="251" ht="25" customHeight="1">
      <x:c r="A251" s="1" t="str">
        <x:v>US-25-T6</x:v>
      </x:c>
      <x:c r="B251" s="1" t="str">
        <x:v>US-25</x:v>
      </x:c>
      <x:c r="C251" s="1" t="str">
        <x:v>FR-25</x:v>
      </x:c>
      <x:c r="D251" s="1" t="str">
        <x:v>CMP-5</x:v>
      </x:c>
      <x:c r="E251" s="1" t="str">
        <x:v>Monitoring check 6</x:v>
      </x:c>
      <x:c r="F251" s="1" t="str">
        <x:f>'Requirements'!D30</x:f>
        <x:v>Should</x:v>
      </x:c>
      <x:c r="G251" s="6" t="str">
        <x:v>No</x:v>
      </x:c>
      <x:c r="H251" s="6" t="str">
        <x:v>No</x:v>
      </x:c>
      <x:c r="I251" s="6" t="str">
        <x:v>Not run</x:v>
      </x:c>
      <x:c r="J251" s="1" t="str">
        <x:f>IF(AND(G251="No",OR(H251="Yes",I251="Passed",I251="Failed")),"Check inputs","OK")</x:f>
        <x:v>OK</x:v>
      </x:c>
    </x:row>
    <x:row r="252" ht="25" customHeight="1">
      <x:c r="A252" s="1" t="str">
        <x:v>US-25-T7</x:v>
      </x:c>
      <x:c r="B252" s="1" t="str">
        <x:v>US-25</x:v>
      </x:c>
      <x:c r="C252" s="1" t="str">
        <x:v>FR-25</x:v>
      </x:c>
      <x:c r="D252" s="1" t="str">
        <x:v>CMP-5</x:v>
      </x:c>
      <x:c r="E252" s="1" t="str">
        <x:v>Monitoring check 7</x:v>
      </x:c>
      <x:c r="F252" s="1" t="str">
        <x:f>'Requirements'!D30</x:f>
        <x:v>Should</x:v>
      </x:c>
      <x:c r="G252" s="6" t="str">
        <x:v>No</x:v>
      </x:c>
      <x:c r="H252" s="6" t="str">
        <x:v>No</x:v>
      </x:c>
      <x:c r="I252" s="6" t="str">
        <x:v>Not run</x:v>
      </x:c>
      <x:c r="J252" s="1" t="str">
        <x:f>IF(AND(G252="No",OR(H252="Yes",I252="Passed",I252="Failed")),"Check inputs","OK")</x:f>
        <x:v>OK</x:v>
      </x:c>
    </x:row>
    <x:row r="253" ht="25" customHeight="1">
      <x:c r="A253" s="1" t="str">
        <x:v>US-25-T8</x:v>
      </x:c>
      <x:c r="B253" s="1" t="str">
        <x:v>US-25</x:v>
      </x:c>
      <x:c r="C253" s="1" t="str">
        <x:v>FR-25</x:v>
      </x:c>
      <x:c r="D253" s="1" t="str">
        <x:v>CMP-5</x:v>
      </x:c>
      <x:c r="E253" s="1" t="str">
        <x:v>Monitoring check 8</x:v>
      </x:c>
      <x:c r="F253" s="1" t="str">
        <x:f>'Requirements'!D30</x:f>
        <x:v>Should</x:v>
      </x:c>
      <x:c r="G253" s="6" t="str">
        <x:v>No</x:v>
      </x:c>
      <x:c r="H253" s="6" t="str">
        <x:v>No</x:v>
      </x:c>
      <x:c r="I253" s="6" t="str">
        <x:v>Not run</x:v>
      </x:c>
      <x:c r="J253" s="1" t="str">
        <x:f>IF(AND(G253="No",OR(H253="Yes",I253="Passed",I253="Failed")),"Check inputs","OK")</x:f>
        <x:v>OK</x:v>
      </x:c>
    </x:row>
    <x:row r="254" ht="25" customHeight="1">
      <x:c r="A254" s="1" t="str">
        <x:v>US-25-T9</x:v>
      </x:c>
      <x:c r="B254" s="1" t="str">
        <x:v>US-25</x:v>
      </x:c>
      <x:c r="C254" s="1" t="str">
        <x:v>FR-25</x:v>
      </x:c>
      <x:c r="D254" s="1" t="str">
        <x:v>CMP-5</x:v>
      </x:c>
      <x:c r="E254" s="1" t="str">
        <x:v>Monitoring check 9</x:v>
      </x:c>
      <x:c r="F254" s="1" t="str">
        <x:f>'Requirements'!D30</x:f>
        <x:v>Should</x:v>
      </x:c>
      <x:c r="G254" s="6" t="str">
        <x:v>No</x:v>
      </x:c>
      <x:c r="H254" s="6" t="str">
        <x:v>No</x:v>
      </x:c>
      <x:c r="I254" s="6" t="str">
        <x:v>Not run</x:v>
      </x:c>
      <x:c r="J254" s="1" t="str">
        <x:f>IF(AND(G254="No",OR(H254="Yes",I254="Passed",I254="Failed")),"Check inputs","OK")</x:f>
        <x:v>OK</x:v>
      </x:c>
    </x:row>
    <x:row r="255" ht="25" customHeight="1">
      <x:c r="A255" s="1" t="str">
        <x:v>US-25-T10</x:v>
      </x:c>
      <x:c r="B255" s="1" t="str">
        <x:v>US-25</x:v>
      </x:c>
      <x:c r="C255" s="1" t="str">
        <x:v>FR-25</x:v>
      </x:c>
      <x:c r="D255" s="1" t="str">
        <x:v>CMP-5</x:v>
      </x:c>
      <x:c r="E255" s="1" t="str">
        <x:v>Monitoring check 10</x:v>
      </x:c>
      <x:c r="F255" s="1" t="str">
        <x:f>'Requirements'!D30</x:f>
        <x:v>Should</x:v>
      </x:c>
      <x:c r="G255" s="6" t="str">
        <x:v>No</x:v>
      </x:c>
      <x:c r="H255" s="6" t="str">
        <x:v>No</x:v>
      </x:c>
      <x:c r="I255" s="6" t="str">
        <x:v>Not run</x:v>
      </x:c>
      <x:c r="J255" s="1" t="str">
        <x:f>IF(AND(G255="No",OR(H255="Yes",I255="Passed",I255="Failed")),"Check inputs","OK")</x:f>
        <x:v>OK</x:v>
      </x:c>
    </x:row>
  </x:sheetData>
  <x:conditionalFormatting sqref="J6:J255">
    <x:cfRule type="containsText" dxfId="8" priority="1" operator="containsText" text="Gap"/>
    <x:cfRule type="containsText" dxfId="9" priority="2" operator="containsText" text="Pending"/>
    <x:cfRule type="containsText" dxfId="10" priority="3" operator="containsText" text="Not met"/>
    <x:cfRule type="containsText" dxfId="11" priority="4" operator="containsText" text="Check inputs"/>
  </x:conditionalFormatting>
  <x:dataValidations count="2">
    <x:dataValidation type="list" sqref="G6:H255">
      <x:formula1>"Yes,No"</x:formula1>
    </x:dataValidation>
    <x:dataValidation type="list" sqref="I6:I255">
      <x:formula1>"Passed,Failed,Blocked,Not run"</x:formula1>
    </x:dataValidation>
  </x:dataValidations>
  <x:pageMargins left="0.7" right="0.7" top="0.75" bottom="0.75" header="0.3" footer="0.3"/>
</x:worksheet>
</file>