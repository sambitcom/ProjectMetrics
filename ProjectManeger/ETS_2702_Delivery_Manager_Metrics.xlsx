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70f66ad68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 Forecast" sheetId="1" r:id="Rabe97322f4a74f7a"/>
    <x:sheet xmlns:r="http://schemas.openxmlformats.org/officeDocument/2006/relationships" name="Solution Teams" sheetId="2" r:id="R4b0f84abca5a4a80"/>
    <x:sheet xmlns:r="http://schemas.openxmlformats.org/officeDocument/2006/relationships" name="Parallel Plan" sheetId="3" r:id="R1c56d0d6ce78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sz val="11"/>
      <x:color rgb="FF1E293B"/>
      <x:name val="Arial"/>
    </x:font>
    <x:font>
      <x:b/>
      <x:sz val="16"/>
      <x:color rgb="FF1E293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9b07270144cc3" /><Relationship Type="http://schemas.openxmlformats.org/officeDocument/2006/relationships/theme" Target="/xl/theme/theme1.xml" Id="Rd565dba8d2bc4c88" /><Relationship Type="http://schemas.openxmlformats.org/officeDocument/2006/relationships/sharedStrings" Target="/xl/sharedStrings.xml" Id="Rbd059f4dabec4977" /><Relationship Type="http://schemas.openxmlformats.org/officeDocument/2006/relationships/worksheet" Target="/xl/worksheets/sheet1.xml" Id="Rabe97322f4a74f7a" /><Relationship Type="http://schemas.openxmlformats.org/officeDocument/2006/relationships/worksheet" Target="/xl/worksheets/sheet2.xml" Id="R4b0f84abca5a4a80" /><Relationship Type="http://schemas.openxmlformats.org/officeDocument/2006/relationships/worksheet" Target="/xl/worksheets/sheet3.xml" Id="R1c56d0d6ce784c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0" hidden="0" customWidth="1"/>
    <x:col min="3" max="3" width="67" hidden="0" customWidth="1"/>
    <x:col min="4" max="4" width="20" hidden="0" customWidth="1"/>
    <x:col min="5" max="5" width="20" hidden="0" customWidth="1"/>
  </x:cols>
  <x:sheetData>
    <x:row r="1" ht="25" customHeight="1">
      <x:c r="A1" s="1"/>
      <x:c r="B1" s="1"/>
      <x:c r="C1" s="1"/>
      <x:c r="D1" s="1"/>
      <x:c r="E1" s="1"/>
    </x:row>
    <x:row r="2" ht="25" customHeight="1">
      <x:c r="A2" s="2" t="str">
        <x:v>ETS 2702 solution delivery forecast</x:v>
      </x:c>
      <x:c r="B2" s="1"/>
      <x:c r="C2" s="1"/>
      <x:c r="D2" s="1"/>
      <x:c r="E2" s="1"/>
    </x:row>
    <x:row r="3" ht="25" customHeight="1">
      <x:c r="A3" s="1" t="str">
        <x:v>Five parallel teams. Three completed Must stories across the release; one each in Teams 1–3.</x:v>
      </x:c>
      <x:c r="B3" s="1"/>
      <x:c r="C3" s="1"/>
      <x:c r="D3" s="1"/>
      <x:c r="E3" s="1"/>
    </x:row>
    <x:row r="4" ht="25" customHeight="1">
      <x:c r="A4" s="1"/>
      <x:c r="B4" s="1"/>
      <x:c r="C4" s="1"/>
      <x:c r="D4" s="1"/>
      <x:c r="E4" s="1"/>
    </x:row>
    <x:row r="5" ht="50" customHeight="1">
      <x:c r="A5" s="5" t="str">
        <x:v>Release metric</x:v>
      </x:c>
      <x:c r="B5" s="5" t="str">
        <x:v>Calculated result</x:v>
      </x:c>
      <x:c r="C5" s="5" t="str">
        <x:v>Definition</x:v>
      </x:c>
      <x:c r="D5" s="1"/>
      <x:c r="E5" s="1"/>
    </x:row>
    <x:row r="6" ht="25" customHeight="1">
      <x:c r="A6" s="1" t="str">
        <x:v>Solution teams</x:v>
      </x:c>
      <x:c r="B6" s="1" t="n">
        <x:f>COUNTA('Solution Teams'!A6:A10)</x:f>
        <x:v>5</x:v>
      </x:c>
      <x:c r="C6" s="1" t="str">
        <x:v>Each owns 1 linked component epic</x:v>
      </x:c>
      <x:c r="D6" s="1"/>
      <x:c r="E6" s="1"/>
    </x:row>
    <x:row r="7" ht="25" customHeight="1">
      <x:c r="A7" s="1" t="str">
        <x:v>Team members</x:v>
      </x:c>
      <x:c r="B7" s="1" t="n">
        <x:f>SUM('Solution Teams'!B6:B10)</x:f>
        <x:v>25</x:v>
      </x:c>
      <x:c r="C7" s="1" t="str">
        <x:v>5 members per team</x:v>
      </x:c>
      <x:c r="D7" s="1"/>
      <x:c r="E7" s="1"/>
    </x:row>
    <x:row r="8" ht="25" customHeight="1">
      <x:c r="A8" s="1" t="str">
        <x:v>Nominal aggregate velocity</x:v>
      </x:c>
      <x:c r="B8" s="1" t="n">
        <x:f>SUM('Solution Teams'!C6:C10)</x:f>
        <x:v>50</x:v>
      </x:c>
      <x:c r="C8" s="1" t="str">
        <x:v>Points/week; team-level forecasts govern</x:v>
      </x:c>
      <x:c r="D8" s="1"/>
      <x:c r="E8" s="1"/>
    </x:row>
    <x:row r="9" ht="25" customHeight="1">
      <x:c r="A9" s="1" t="str">
        <x:v>Unique release stories</x:v>
      </x:c>
      <x:c r="B9" s="1" t="n">
        <x:f>SUM('Solution Teams'!D6:D10)</x:f>
        <x:v>25</x:v>
      </x:c>
      <x:c r="C9" s="1" t="str">
        <x:v>Shared solution/component scope</x:v>
      </x:c>
      <x:c r="D9" s="1"/>
      <x:c r="E9" s="1"/>
    </x:row>
    <x:row r="10" ht="25" customHeight="1">
      <x:c r="A10" s="1" t="str">
        <x:v>Release scope, points</x:v>
      </x:c>
      <x:c r="B10" s="1" t="n">
        <x:f>SUM('Solution Teams'!H6:H10)</x:f>
        <x:v>75</x:v>
      </x:c>
      <x:c r="C10" s="1" t="str">
        <x:v>3 points per FR / linked story</x:v>
      </x:c>
      <x:c r="D10" s="1"/>
      <x:c r="E10" s="1"/>
    </x:row>
    <x:row r="11" ht="25" customHeight="1">
      <x:c r="A11" s="1" t="str">
        <x:v>Completed spillover stories</x:v>
      </x:c>
      <x:c r="B11" s="1" t="n">
        <x:f>SUM('Solution Teams'!F6:F10)</x:f>
        <x:v>3</x:v>
      </x:c>
      <x:c r="C11" s="1" t="str">
        <x:v>Release-wide total, not per team</x:v>
      </x:c>
      <x:c r="D11" s="1"/>
      <x:c r="E11" s="1"/>
    </x:row>
    <x:row r="12" ht="25" customHeight="1">
      <x:c r="A12" s="1" t="str">
        <x:v>Completed points</x:v>
      </x:c>
      <x:c r="B12" s="1" t="n">
        <x:f>SUM('Solution Teams'!I6:I10)</x:f>
        <x:v>9</x:v>
      </x:c>
      <x:c r="C12" s="1" t="str">
        <x:v>Done includes Must automation</x:v>
      </x:c>
      <x:c r="D12" s="1"/>
      <x:c r="E12" s="1"/>
    </x:row>
    <x:row r="13" ht="25" customHeight="1">
      <x:c r="A13" s="1" t="str">
        <x:v>Remaining full scope, points</x:v>
      </x:c>
      <x:c r="B13" s="1" t="n">
        <x:f>SUM('Solution Teams'!J6:J10)</x:f>
        <x:v>66</x:v>
      </x:c>
      <x:c r="C13" s="1" t="str">
        <x:v>Remaining scope across teams</x:v>
      </x:c>
      <x:c r="D13" s="1"/>
      <x:c r="E13" s="1"/>
    </x:row>
    <x:row r="14" ht="25" customHeight="1">
      <x:c r="A14" s="1" t="str">
        <x:v>Remaining Must scope, points</x:v>
      </x:c>
      <x:c r="B14" s="1" t="n">
        <x:f>SUM('Solution Teams'!K6:K10)</x:f>
        <x:v>51</x:v>
      </x:c>
      <x:c r="C14" s="1" t="str">
        <x:v>Must gaps across teams</x:v>
      </x:c>
      <x:c r="D14" s="1"/>
      <x:c r="E14" s="1"/>
    </x:row>
    <x:row r="15" ht="25" customHeight="1">
      <x:c r="A15" s="1" t="str">
        <x:v>Release completion</x:v>
      </x:c>
      <x:c r="B15" s="7" t="n">
        <x:f>IF(B10=0,"n.a.",B12/B10)</x:f>
        <x:v>0.12</x:v>
      </x:c>
      <x:c r="C15" s="1" t="str">
        <x:v>Done / total release points</x:v>
      </x:c>
      <x:c r="D15" s="1"/>
      <x:c r="E15" s="1"/>
    </x:row>
    <x:row r="16" ht="25" customHeight="1">
      <x:c r="A16" s="1" t="str">
        <x:v>Must completion</x:v>
      </x:c>
      <x:c r="B16" s="7" t="n">
        <x:f>IF(SUM('Solution Teams'!E6:E10)=0,"n.a.",SUM('Solution Teams'!G6:G10)/SUM('Solution Teams'!E6:E10))</x:f>
        <x:v>0.15</x:v>
      </x:c>
      <x:c r="C16" s="1" t="str">
        <x:v>Done Must / total Must requirements</x:v>
      </x:c>
      <x:c r="D16" s="1"/>
      <x:c r="E16" s="1"/>
    </x:row>
    <x:row r="17" ht="25" customHeight="1">
      <x:c r="A17" s="1" t="str">
        <x:v>Must team-work forecast, weeks</x:v>
      </x:c>
      <x:c r="B17" s="1" t="n">
        <x:f>MAX('Solution Teams'!L6:L10)</x:f>
        <x:v>2</x:v>
      </x:c>
      <x:c r="C17" s="1" t="str">
        <x:v>Latest required team finish</x:v>
      </x:c>
      <x:c r="D17" s="1"/>
      <x:c r="E17" s="1"/>
    </x:row>
    <x:row r="18" ht="25" customHeight="1">
      <x:c r="A18" s="1" t="str">
        <x:v>Full team-work forecast, weeks</x:v>
      </x:c>
      <x:c r="B18" s="1" t="n">
        <x:f>MAX('Solution Teams'!M6:M10)</x:f>
        <x:v>2</x:v>
      </x:c>
      <x:c r="C18" s="1" t="str">
        <x:v>Latest required team finish</x:v>
      </x:c>
      <x:c r="D18" s="1"/>
      <x:c r="E18" s="1"/>
    </x:row>
    <x:row r="19" ht="25" customHeight="1">
      <x:c r="A19" s="1" t="str">
        <x:v>Full whole-story plan, weeks</x:v>
      </x:c>
      <x:c r="B19" s="1" t="n">
        <x:f>MAX('Solution Teams'!N6:N10)</x:f>
        <x:v>2</x:v>
      </x:c>
      <x:c r="C19" s="1" t="str">
        <x:v>Whole stories within weekly point limit</x:v>
      </x:c>
      <x:c r="D19" s="1"/>
      <x:c r="E19" s="1"/>
    </x:row>
    <x:row r="20" ht="25" customHeight="1">
      <x:c r="A20" s="1" t="str">
        <x:v>Release-ready forecast, weeks</x:v>
      </x:c>
      <x:c r="B20" s="1" t="str">
        <x:f>IF(B26="","Unestimated",B18+B26)</x:f>
        <x:v>Unestimated</x:v>
      </x:c>
      <x:c r="C20" s="1" t="str">
        <x:v>Team finish + confirmed sequential gate weeks</x:v>
      </x:c>
      <x:c r="D20" s="1"/>
      <x:c r="E20" s="1"/>
    </x:row>
    <x:row r="21" ht="25" customHeight="1">
      <x:c r="A21" s="1"/>
      <x:c r="B21" s="1"/>
      <x:c r="C21" s="1"/>
      <x:c r="D21" s="1"/>
      <x:c r="E21" s="1"/>
    </x:row>
    <x:row r="22" ht="25" customHeight="1">
      <x:c r="A22" s="1"/>
      <x:c r="B22" s="1"/>
      <x:c r="C22" s="1"/>
      <x:c r="D22" s="1"/>
      <x:c r="E22" s="1"/>
    </x:row>
    <x:row r="23" ht="45" customHeight="1">
      <x:c r="A23" s="5" t="str">
        <x:v>Input</x:v>
      </x:c>
      <x:c r="B23" s="5" t="str">
        <x:v>Value</x:v>
      </x:c>
      <x:c r="C23" s="5" t="str">
        <x:v>Definition</x:v>
      </x:c>
      <x:c r="D23" s="1"/>
      <x:c r="E23" s="1"/>
    </x:row>
    <x:row r="24" ht="25" customHeight="1">
      <x:c r="A24" s="1" t="str">
        <x:v>Points per story / FR</x:v>
      </x:c>
      <x:c r="B24" s="6" t="n">
        <x:v>3</x:v>
      </x:c>
      <x:c r="C24" s="1" t="str">
        <x:v>One FR maps to one shared story</x:v>
      </x:c>
      <x:c r="D24" s="1"/>
      <x:c r="E24" s="1"/>
    </x:row>
    <x:row r="25" ht="25" customHeight="1">
      <x:c r="A25" s="1" t="str">
        <x:v>Tasks per story</x:v>
      </x:c>
      <x:c r="B25" s="6" t="n">
        <x:v>10</x:v>
      </x:c>
      <x:c r="C25" s="1" t="str">
        <x:v>Included in story estimate</x:v>
      </x:c>
      <x:c r="D25" s="1"/>
      <x:c r="E25" s="1"/>
    </x:row>
    <x:row r="26" ht="25" customHeight="1">
      <x:c r="A26" s="1" t="str">
        <x:v>Sequential release-gate weeks</x:v>
      </x:c>
      <x:c r="B26" s="6"/>
      <x:c r="C26" s="1" t="str">
        <x:v>Blank = unestimated; 0 = confirmed no extra work</x:v>
      </x:c>
      <x:c r="D26" s="1"/>
      <x:c r="E26" s="1"/>
    </x:row>
    <x:row r="27" ht="25" customHeight="1">
      <x:c r="A27" s="1"/>
      <x:c r="B27" s="1"/>
      <x:c r="C27" s="1"/>
      <x:c r="D27" s="1"/>
      <x:c r="E27" s="1"/>
    </x:row>
    <x:row r="28" ht="25" customHeight="1">
      <x:c r="A28" s="1"/>
      <x:c r="B28" s="1"/>
      <x:c r="C28" s="1"/>
      <x:c r="D28" s="1"/>
      <x:c r="E28" s="1"/>
    </x:row>
    <x:row r="29" ht="45" customHeight="1">
      <x:c r="A29" s="5" t="str">
        <x:v>Scenario velocity/team</x:v>
      </x:c>
      <x:c r="B29" s="5" t="str">
        <x:v>Aggregate velocity</x:v>
      </x:c>
      <x:c r="C29" s="5" t="str">
        <x:v>Must point weeks</x:v>
      </x:c>
      <x:c r="D29" s="5" t="str">
        <x:v>Full point weeks</x:v>
      </x:c>
      <x:c r="E29" s="5" t="str">
        <x:v>Full story weeks</x:v>
      </x:c>
    </x:row>
    <x:row r="30" ht="25" customHeight="1">
      <x:c r="A30" s="6" t="n">
        <x:v>7</x:v>
      </x:c>
      <x:c r="B30" s="1" t="n">
        <x:f>A30*$B$6</x:f>
        <x:v>35</x:v>
      </x:c>
      <x:c r="C30" s="1" t="n">
        <x:f>ROUNDUP(MAX('Solution Teams'!K6:K10)/A30,0)</x:f>
        <x:v>2</x:v>
      </x:c>
      <x:c r="D30" s="1" t="n">
        <x:f>ROUNDUP(MAX('Solution Teams'!J6:J10)/A30,0)</x:f>
        <x:v>3</x:v>
      </x:c>
      <x:c r="E30" s="1" t="n">
        <x:f>IF(ROUNDDOWN(A30/$B$24,0)=0,"n.a.",ROUNDUP(MAX('Solution Teams'!J6:J10)/$B$24/ROUNDDOWN(A30/$B$24,0),0))</x:f>
        <x:v>3</x:v>
      </x:c>
    </x:row>
    <x:row r="31" ht="25" customHeight="1">
      <x:c r="A31" s="6" t="n">
        <x:v>10</x:v>
      </x:c>
      <x:c r="B31" s="1" t="n">
        <x:f>A31*$B$6</x:f>
        <x:v>50</x:v>
      </x:c>
      <x:c r="C31" s="1" t="n">
        <x:f>ROUNDUP(MAX('Solution Teams'!K6:K10)/A31,0)</x:f>
        <x:v>2</x:v>
      </x:c>
      <x:c r="D31" s="1" t="n">
        <x:f>ROUNDUP(MAX('Solution Teams'!J6:J10)/A31,0)</x:f>
        <x:v>2</x:v>
      </x:c>
      <x:c r="E31" s="1" t="n">
        <x:f>IF(ROUNDDOWN(A31/$B$24,0)=0,"n.a.",ROUNDUP(MAX('Solution Teams'!J6:J10)/$B$24/ROUNDDOWN(A31/$B$24,0),0))</x:f>
        <x:v>2</x:v>
      </x:c>
    </x:row>
    <x:row r="32" ht="25" customHeight="1">
      <x:c r="A32" s="6" t="n">
        <x:v>13</x:v>
      </x:c>
      <x:c r="B32" s="1" t="n">
        <x:f>A32*$B$6</x:f>
        <x:v>65</x:v>
      </x:c>
      <x:c r="C32" s="1" t="n">
        <x:f>ROUNDUP(MAX('Solution Teams'!K6:K10)/A32,0)</x:f>
        <x:v>1</x:v>
      </x:c>
      <x:c r="D32" s="1" t="n">
        <x:f>ROUNDUP(MAX('Solution Teams'!J6:J10)/A32,0)</x:f>
        <x:v>2</x:v>
      </x:c>
      <x:c r="E32" s="1" t="n">
        <x:f>IF(ROUNDDOWN(A32/$B$24,0)=0,"n.a.",ROUNDUP(MAX('Solution Teams'!J6:J10)/$B$24/ROUNDDOWN(A32/$B$24,0),0))</x:f>
        <x:v>2</x:v>
      </x:c>
    </x:row>
    <x:row r="33" ht="25" customHeight="1">
      <x:c r="A33" s="1"/>
      <x:c r="B33" s="1"/>
      <x:c r="C33" s="1"/>
      <x:c r="D33" s="1"/>
      <x:c r="E33" s="1"/>
    </x:row>
    <x:row r="34" ht="25" customHeight="1">
      <x:c r="A34" s="1"/>
      <x:c r="B34" s="1"/>
      <x:c r="C34" s="1"/>
      <x:c r="D34" s="1"/>
      <x:c r="E34" s="1"/>
    </x:row>
    <x:row r="35" ht="25" customHeight="1">
      <x:c r="A35" s="1" t="str">
        <x:v>Forecast starts at the next planning point; no calendar start date or release deadline was supplied.</x:v>
      </x:c>
      <x:c r="B35" s="1"/>
      <x:c r="C35" s="1"/>
      <x:c r="D35" s="1"/>
      <x:c r="E35" s="1"/>
    </x:row>
    <x:row r="36" ht="25" customHeight="1">
      <x:c r="A36" s="1" t="str">
        <x:v>Default scenario assumes independent ready work. Estimate dependencies and extra solution gates before setting readiness.</x:v>
      </x:c>
      <x:c r="B36" s="1"/>
      <x:c r="C36" s="1"/>
      <x:c r="D36" s="1"/>
      <x:c r="E36" s="1"/>
    </x:row>
  </x:sheetData>
  <x:dataValidations count="1">
    <x:dataValidation type="whole" operator="between" sqref="B24:B25">
      <x:formula1>1</x:formula1>
      <x:formula2>1000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5" customHeight="1">
      <x:c r="A2" s="2" t="str">
        <x:v>Solution team scope and finish forecast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5" customHeight="1">
      <x:c r="A3" s="1" t="str">
        <x:v>Amber fields are editable. Each row is one solution epic and its linked component epic. Done spillover is Must.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50" customHeight="1">
      <x:c r="A5" s="5" t="str">
        <x:v>Solution / component</x:v>
      </x:c>
      <x:c r="B5" s="5" t="str">
        <x:v>Members</x:v>
      </x:c>
      <x:c r="C5" s="5" t="str">
        <x:v>Velocity / week</x:v>
      </x:c>
      <x:c r="D5" s="5" t="str">
        <x:v>Stories / FRs</x:v>
      </x:c>
      <x:c r="E5" s="5" t="str">
        <x:v>Must FRs</x:v>
      </x:c>
      <x:c r="F5" s="5" t="str">
        <x:v>Done stories</x:v>
      </x:c>
      <x:c r="G5" s="5" t="str">
        <x:v>Done Must</x:v>
      </x:c>
      <x:c r="H5" s="5" t="str">
        <x:v>Total points</x:v>
      </x:c>
      <x:c r="I5" s="5" t="str">
        <x:v>Done points</x:v>
      </x:c>
      <x:c r="J5" s="5" t="str">
        <x:v>Full remaining</x:v>
      </x:c>
      <x:c r="K5" s="5" t="str">
        <x:v>Must remaining</x:v>
      </x:c>
      <x:c r="L5" s="5" t="str">
        <x:v>Must weeks</x:v>
      </x:c>
      <x:c r="M5" s="5" t="str">
        <x:v>Full weeks</x:v>
      </x:c>
      <x:c r="N5" s="5" t="str">
        <x:v>Full story weeks</x:v>
      </x:c>
      <x:c r="O5" s="5" t="str">
        <x:v>Completion</x:v>
      </x:c>
    </x:row>
    <x:row r="6" ht="25" customHeight="1">
      <x:c r="A6" s="1" t="str">
        <x:v>SOL-1 / CMP-1</x:v>
      </x:c>
      <x:c r="B6" s="6" t="n">
        <x:v>5</x:v>
      </x:c>
      <x:c r="C6" s="6" t="n">
        <x:v>10</x:v>
      </x:c>
      <x:c r="D6" s="6" t="n">
        <x:v>5</x:v>
      </x:c>
      <x:c r="E6" s="6" t="n">
        <x:v>4</x:v>
      </x:c>
      <x:c r="F6" s="6" t="n">
        <x:v>1</x:v>
      </x:c>
      <x:c r="G6" s="6" t="n">
        <x:v>1</x:v>
      </x:c>
      <x:c r="H6" s="1" t="n">
        <x:f>D6*'Delivery Forecast'!$B$24</x:f>
        <x:v>15</x:v>
      </x:c>
      <x:c r="I6" s="1" t="n">
        <x:f>F6*'Delivery Forecast'!$B$24</x:f>
        <x:v>3</x:v>
      </x:c>
      <x:c r="J6" s="1" t="n">
        <x:f>H6-I6</x:f>
        <x:v>12</x:v>
      </x:c>
      <x:c r="K6" s="1" t="n">
        <x:f>(E6-G6)*'Delivery Forecast'!$B$24</x:f>
        <x:v>9</x:v>
      </x:c>
      <x:c r="L6" s="1" t="n">
        <x:f>IF(C6=0,"n.a.",ROUNDUP(K6/C6,0))</x:f>
        <x:v>1</x:v>
      </x:c>
      <x:c r="M6" s="1" t="n">
        <x:f>IF(C6=0,"n.a.",ROUNDUP(J6/C6,0))</x:f>
        <x:v>2</x:v>
      </x:c>
      <x:c r="N6" s="1" t="n">
        <x:f>IF(ROUNDDOWN(C6/'Delivery Forecast'!$B$24,0)=0,"n.a.",ROUNDUP((D6-F6)/ROUNDDOWN(C6/'Delivery Forecast'!$B$24,0),0))</x:f>
        <x:v>2</x:v>
      </x:c>
      <x:c r="O6" s="7" t="n">
        <x:f>IF(H6=0,"n.a.",I6/H6)</x:f>
        <x:v>0.2</x:v>
      </x:c>
    </x:row>
    <x:row r="7" ht="25" customHeight="1">
      <x:c r="A7" s="1" t="str">
        <x:v>SOL-2 / CMP-2</x:v>
      </x:c>
      <x:c r="B7" s="6" t="n">
        <x:v>5</x:v>
      </x:c>
      <x:c r="C7" s="6" t="n">
        <x:v>10</x:v>
      </x:c>
      <x:c r="D7" s="6" t="n">
        <x:v>5</x:v>
      </x:c>
      <x:c r="E7" s="6" t="n">
        <x:v>4</x:v>
      </x:c>
      <x:c r="F7" s="6" t="n">
        <x:v>1</x:v>
      </x:c>
      <x:c r="G7" s="6" t="n">
        <x:v>1</x:v>
      </x:c>
      <x:c r="H7" s="1" t="n">
        <x:f>D7*'Delivery Forecast'!$B$24</x:f>
        <x:v>15</x:v>
      </x:c>
      <x:c r="I7" s="1" t="n">
        <x:f>F7*'Delivery Forecast'!$B$24</x:f>
        <x:v>3</x:v>
      </x:c>
      <x:c r="J7" s="1" t="n">
        <x:f>H7-I7</x:f>
        <x:v>12</x:v>
      </x:c>
      <x:c r="K7" s="1" t="n">
        <x:f>(E7-G7)*'Delivery Forecast'!$B$24</x:f>
        <x:v>9</x:v>
      </x:c>
      <x:c r="L7" s="1" t="n">
        <x:f>IF(C7=0,"n.a.",ROUNDUP(K7/C7,0))</x:f>
        <x:v>1</x:v>
      </x:c>
      <x:c r="M7" s="1" t="n">
        <x:f>IF(C7=0,"n.a.",ROUNDUP(J7/C7,0))</x:f>
        <x:v>2</x:v>
      </x:c>
      <x:c r="N7" s="1" t="n">
        <x:f>IF(ROUNDDOWN(C7/'Delivery Forecast'!$B$24,0)=0,"n.a.",ROUNDUP((D7-F7)/ROUNDDOWN(C7/'Delivery Forecast'!$B$24,0),0))</x:f>
        <x:v>2</x:v>
      </x:c>
      <x:c r="O7" s="7" t="n">
        <x:f>IF(H7=0,"n.a.",I7/H7)</x:f>
        <x:v>0.2</x:v>
      </x:c>
    </x:row>
    <x:row r="8" ht="25" customHeight="1">
      <x:c r="A8" s="1" t="str">
        <x:v>SOL-3 / CMP-3</x:v>
      </x:c>
      <x:c r="B8" s="6" t="n">
        <x:v>5</x:v>
      </x:c>
      <x:c r="C8" s="6" t="n">
        <x:v>10</x:v>
      </x:c>
      <x:c r="D8" s="6" t="n">
        <x:v>5</x:v>
      </x:c>
      <x:c r="E8" s="6" t="n">
        <x:v>4</x:v>
      </x:c>
      <x:c r="F8" s="6" t="n">
        <x:v>1</x:v>
      </x:c>
      <x:c r="G8" s="6" t="n">
        <x:v>1</x:v>
      </x:c>
      <x:c r="H8" s="1" t="n">
        <x:f>D8*'Delivery Forecast'!$B$24</x:f>
        <x:v>15</x:v>
      </x:c>
      <x:c r="I8" s="1" t="n">
        <x:f>F8*'Delivery Forecast'!$B$24</x:f>
        <x:v>3</x:v>
      </x:c>
      <x:c r="J8" s="1" t="n">
        <x:f>H8-I8</x:f>
        <x:v>12</x:v>
      </x:c>
      <x:c r="K8" s="1" t="n">
        <x:f>(E8-G8)*'Delivery Forecast'!$B$24</x:f>
        <x:v>9</x:v>
      </x:c>
      <x:c r="L8" s="1" t="n">
        <x:f>IF(C8=0,"n.a.",ROUNDUP(K8/C8,0))</x:f>
        <x:v>1</x:v>
      </x:c>
      <x:c r="M8" s="1" t="n">
        <x:f>IF(C8=0,"n.a.",ROUNDUP(J8/C8,0))</x:f>
        <x:v>2</x:v>
      </x:c>
      <x:c r="N8" s="1" t="n">
        <x:f>IF(ROUNDDOWN(C8/'Delivery Forecast'!$B$24,0)=0,"n.a.",ROUNDUP((D8-F8)/ROUNDDOWN(C8/'Delivery Forecast'!$B$24,0),0))</x:f>
        <x:v>2</x:v>
      </x:c>
      <x:c r="O8" s="7" t="n">
        <x:f>IF(H8=0,"n.a.",I8/H8)</x:f>
        <x:v>0.2</x:v>
      </x:c>
    </x:row>
    <x:row r="9" ht="25" customHeight="1">
      <x:c r="A9" s="1" t="str">
        <x:v>SOL-4 / CMP-4</x:v>
      </x:c>
      <x:c r="B9" s="6" t="n">
        <x:v>5</x:v>
      </x:c>
      <x:c r="C9" s="6" t="n">
        <x:v>10</x:v>
      </x:c>
      <x:c r="D9" s="6" t="n">
        <x:v>5</x:v>
      </x:c>
      <x:c r="E9" s="6" t="n">
        <x:v>4</x:v>
      </x:c>
      <x:c r="F9" s="6" t="n">
        <x:v>0</x:v>
      </x:c>
      <x:c r="G9" s="6" t="n">
        <x:v>0</x:v>
      </x:c>
      <x:c r="H9" s="1" t="n">
        <x:f>D9*'Delivery Forecast'!$B$24</x:f>
        <x:v>15</x:v>
      </x:c>
      <x:c r="I9" s="1" t="n">
        <x:f>F9*'Delivery Forecast'!$B$24</x:f>
        <x:v>0</x:v>
      </x:c>
      <x:c r="J9" s="1" t="n">
        <x:f>H9-I9</x:f>
        <x:v>15</x:v>
      </x:c>
      <x:c r="K9" s="1" t="n">
        <x:f>(E9-G9)*'Delivery Forecast'!$B$24</x:f>
        <x:v>12</x:v>
      </x:c>
      <x:c r="L9" s="1" t="n">
        <x:f>IF(C9=0,"n.a.",ROUNDUP(K9/C9,0))</x:f>
        <x:v>2</x:v>
      </x:c>
      <x:c r="M9" s="1" t="n">
        <x:f>IF(C9=0,"n.a.",ROUNDUP(J9/C9,0))</x:f>
        <x:v>2</x:v>
      </x:c>
      <x:c r="N9" s="1" t="n">
        <x:f>IF(ROUNDDOWN(C9/'Delivery Forecast'!$B$24,0)=0,"n.a.",ROUNDUP((D9-F9)/ROUNDDOWN(C9/'Delivery Forecast'!$B$24,0),0))</x:f>
        <x:v>2</x:v>
      </x:c>
      <x:c r="O9" s="7" t="n">
        <x:f>IF(H9=0,"n.a.",I9/H9)</x:f>
        <x:v>0</x:v>
      </x:c>
    </x:row>
    <x:row r="10" ht="25" customHeight="1">
      <x:c r="A10" s="1" t="str">
        <x:v>SOL-5 / CMP-5</x:v>
      </x:c>
      <x:c r="B10" s="6" t="n">
        <x:v>5</x:v>
      </x:c>
      <x:c r="C10" s="6" t="n">
        <x:v>10</x:v>
      </x:c>
      <x:c r="D10" s="6" t="n">
        <x:v>5</x:v>
      </x:c>
      <x:c r="E10" s="6" t="n">
        <x:v>4</x:v>
      </x:c>
      <x:c r="F10" s="6" t="n">
        <x:v>0</x:v>
      </x:c>
      <x:c r="G10" s="6" t="n">
        <x:v>0</x:v>
      </x:c>
      <x:c r="H10" s="1" t="n">
        <x:f>D10*'Delivery Forecast'!$B$24</x:f>
        <x:v>15</x:v>
      </x:c>
      <x:c r="I10" s="1" t="n">
        <x:f>F10*'Delivery Forecast'!$B$24</x:f>
        <x:v>0</x:v>
      </x:c>
      <x:c r="J10" s="1" t="n">
        <x:f>H10-I10</x:f>
        <x:v>15</x:v>
      </x:c>
      <x:c r="K10" s="1" t="n">
        <x:f>(E10-G10)*'Delivery Forecast'!$B$24</x:f>
        <x:v>12</x:v>
      </x:c>
      <x:c r="L10" s="1" t="n">
        <x:f>IF(C10=0,"n.a.",ROUNDUP(K10/C10,0))</x:f>
        <x:v>2</x:v>
      </x:c>
      <x:c r="M10" s="1" t="n">
        <x:f>IF(C10=0,"n.a.",ROUNDUP(J10/C10,0))</x:f>
        <x:v>2</x:v>
      </x:c>
      <x:c r="N10" s="1" t="n">
        <x:f>IF(ROUNDDOWN(C10/'Delivery Forecast'!$B$24,0)=0,"n.a.",ROUNDUP((D10-F10)/ROUNDDOWN(C10/'Delivery Forecast'!$B$24,0),0))</x:f>
        <x:v>2</x:v>
      </x:c>
      <x:c r="O10" s="7" t="n">
        <x:f>IF(H10=0,"n.a.",I10/H10)</x:f>
        <x:v>0</x:v>
      </x:c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5" customHeight="1">
      <x:c r="A13" s="1" t="str">
        <x:v>Do not multiply points by member count. Use actual availability separately; story points are not person-hours.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</x:sheetData>
  <x:dataValidations count="1">
    <x:dataValidation type="whole" operator="between" sqref="C6:C10">
      <x:formula1>1</x:formula1>
      <x:formula2>1000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" customHeight="1">
      <x:c r="A2" s="2" t="str">
        <x:v>ETS 2702 two-week parallel plan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5" customHeight="1">
      <x:c r="A3" s="1" t="str">
        <x:v>Illustrative baseline plan. Replace planned story counts when team scope or velocity changes; actuals remain blank.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50" customHeight="1">
      <x:c r="A5" s="5" t="str">
        <x:v>Team</x:v>
      </x:c>
      <x:c r="B5" s="5" t="str">
        <x:v>Week 1 Must</x:v>
      </x:c>
      <x:c r="C5" s="5" t="str">
        <x:v>Week 1 points</x:v>
      </x:c>
      <x:c r="D5" s="5" t="str">
        <x:v>Week 2 Must</x:v>
      </x:c>
      <x:c r="E5" s="5" t="str">
        <x:v>Week 2 Should</x:v>
      </x:c>
      <x:c r="F5" s="5" t="str">
        <x:v>Week 2 points</x:v>
      </x:c>
      <x:c r="G5" s="5" t="str">
        <x:v>Original committed pts</x:v>
      </x:c>
      <x:c r="H5" s="5" t="str">
        <x:v>Original scope Done pts</x:v>
      </x:c>
      <x:c r="I5" s="5" t="str">
        <x:v>Added Done pts</x:v>
      </x:c>
      <x:c r="J5" s="5" t="str">
        <x:v>Actual velocity</x:v>
      </x:c>
      <x:c r="K5" s="5" t="str">
        <x:v>Commitment completion</x:v>
      </x:c>
    </x:row>
    <x:row r="6" ht="25" customHeight="1">
      <x:c r="A6" s="1" t="str">
        <x:v>Team 1</x:v>
      </x:c>
      <x:c r="B6" s="6" t="n">
        <x:v>3</x:v>
      </x:c>
      <x:c r="C6" s="1" t="n">
        <x:f>B6*'Delivery Forecast'!$B$24</x:f>
        <x:v>9</x:v>
      </x:c>
      <x:c r="D6" s="6" t="n">
        <x:v>0</x:v>
      </x:c>
      <x:c r="E6" s="6" t="n">
        <x:v>1</x:v>
      </x:c>
      <x:c r="F6" s="1" t="n">
        <x:f>SUM(D6:E6)*'Delivery Forecast'!$B$24</x:f>
        <x:v>3</x:v>
      </x:c>
      <x:c r="G6" s="6"/>
      <x:c r="H6" s="6"/>
      <x:c r="I6" s="6"/>
      <x:c r="J6" s="1" t="str">
        <x:f>IF(OR(G6="",H6="",I6=""),"n.a.",H6+I6)</x:f>
        <x:v>n.a.</x:v>
      </x:c>
      <x:c r="K6" s="7" t="str">
        <x:f>IF(OR(G6="",H6="",G6=0),"n.a.",H6/G6)</x:f>
        <x:v>n.a.</x:v>
      </x:c>
    </x:row>
    <x:row r="7" ht="25" customHeight="1">
      <x:c r="A7" s="1" t="str">
        <x:v>Team 2</x:v>
      </x:c>
      <x:c r="B7" s="6" t="n">
        <x:v>3</x:v>
      </x:c>
      <x:c r="C7" s="1" t="n">
        <x:f>B7*'Delivery Forecast'!$B$24</x:f>
        <x:v>9</x:v>
      </x:c>
      <x:c r="D7" s="6" t="n">
        <x:v>0</x:v>
      </x:c>
      <x:c r="E7" s="6" t="n">
        <x:v>1</x:v>
      </x:c>
      <x:c r="F7" s="1" t="n">
        <x:f>SUM(D7:E7)*'Delivery Forecast'!$B$24</x:f>
        <x:v>3</x:v>
      </x:c>
      <x:c r="G7" s="6"/>
      <x:c r="H7" s="6"/>
      <x:c r="I7" s="6"/>
      <x:c r="J7" s="1" t="str">
        <x:f>IF(OR(G7="",H7="",I7=""),"n.a.",H7+I7)</x:f>
        <x:v>n.a.</x:v>
      </x:c>
      <x:c r="K7" s="7" t="str">
        <x:f>IF(OR(G7="",H7="",G7=0),"n.a.",H7/G7)</x:f>
        <x:v>n.a.</x:v>
      </x:c>
    </x:row>
    <x:row r="8" ht="25" customHeight="1">
      <x:c r="A8" s="1" t="str">
        <x:v>Team 3</x:v>
      </x:c>
      <x:c r="B8" s="6" t="n">
        <x:v>3</x:v>
      </x:c>
      <x:c r="C8" s="1" t="n">
        <x:f>B8*'Delivery Forecast'!$B$24</x:f>
        <x:v>9</x:v>
      </x:c>
      <x:c r="D8" s="6" t="n">
        <x:v>0</x:v>
      </x:c>
      <x:c r="E8" s="6" t="n">
        <x:v>1</x:v>
      </x:c>
      <x:c r="F8" s="1" t="n">
        <x:f>SUM(D8:E8)*'Delivery Forecast'!$B$24</x:f>
        <x:v>3</x:v>
      </x:c>
      <x:c r="G8" s="6"/>
      <x:c r="H8" s="6"/>
      <x:c r="I8" s="6"/>
      <x:c r="J8" s="1" t="str">
        <x:f>IF(OR(G8="",H8="",I8=""),"n.a.",H8+I8)</x:f>
        <x:v>n.a.</x:v>
      </x:c>
      <x:c r="K8" s="7" t="str">
        <x:f>IF(OR(G8="",H8="",G8=0),"n.a.",H8/G8)</x:f>
        <x:v>n.a.</x:v>
      </x:c>
    </x:row>
    <x:row r="9" ht="25" customHeight="1">
      <x:c r="A9" s="1" t="str">
        <x:v>Team 4</x:v>
      </x:c>
      <x:c r="B9" s="6" t="n">
        <x:v>3</x:v>
      </x:c>
      <x:c r="C9" s="1" t="n">
        <x:f>B9*'Delivery Forecast'!$B$24</x:f>
        <x:v>9</x:v>
      </x:c>
      <x:c r="D9" s="6" t="n">
        <x:v>1</x:v>
      </x:c>
      <x:c r="E9" s="6" t="n">
        <x:v>1</x:v>
      </x:c>
      <x:c r="F9" s="1" t="n">
        <x:f>SUM(D9:E9)*'Delivery Forecast'!$B$24</x:f>
        <x:v>6</x:v>
      </x:c>
      <x:c r="G9" s="6"/>
      <x:c r="H9" s="6"/>
      <x:c r="I9" s="6"/>
      <x:c r="J9" s="1" t="str">
        <x:f>IF(OR(G9="",H9="",I9=""),"n.a.",H9+I9)</x:f>
        <x:v>n.a.</x:v>
      </x:c>
      <x:c r="K9" s="7" t="str">
        <x:f>IF(OR(G9="",H9="",G9=0),"n.a.",H9/G9)</x:f>
        <x:v>n.a.</x:v>
      </x:c>
    </x:row>
    <x:row r="10" ht="25" customHeight="1">
      <x:c r="A10" s="1" t="str">
        <x:v>Team 5</x:v>
      </x:c>
      <x:c r="B10" s="6" t="n">
        <x:v>3</x:v>
      </x:c>
      <x:c r="C10" s="1" t="n">
        <x:f>B10*'Delivery Forecast'!$B$24</x:f>
        <x:v>9</x:v>
      </x:c>
      <x:c r="D10" s="6" t="n">
        <x:v>1</x:v>
      </x:c>
      <x:c r="E10" s="6" t="n">
        <x:v>1</x:v>
      </x:c>
      <x:c r="F10" s="1" t="n">
        <x:f>SUM(D10:E10)*'Delivery Forecast'!$B$24</x:f>
        <x:v>6</x:v>
      </x:c>
      <x:c r="G10" s="6"/>
      <x:c r="H10" s="6"/>
      <x:c r="I10" s="6"/>
      <x:c r="J10" s="1" t="str">
        <x:f>IF(OR(G10="",H10="",I10=""),"n.a.",H10+I10)</x:f>
        <x:v>n.a.</x:v>
      </x:c>
      <x:c r="K10" s="7" t="str">
        <x:f>IF(OR(G10="",H10="",G10=0),"n.a.",H10/G10)</x:f>
        <x:v>n.a.</x:v>
      </x:c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5" customHeight="1">
      <x:c r="A12" s="1" t="str">
        <x:v>Release plan totals</x:v>
      </x:c>
      <x:c r="B12" s="1" t="n">
        <x:f>SUM(B6:B10)</x:f>
        <x:v>15</x:v>
      </x:c>
      <x:c r="C12" s="1" t="n">
        <x:f>SUM(C6:C10)</x:f>
        <x:v>45</x:v>
      </x:c>
      <x:c r="D12" s="1" t="n">
        <x:f>SUM(D6:D10)</x:f>
        <x:v>2</x:v>
      </x:c>
      <x:c r="E12" s="1" t="n">
        <x:f>SUM(E6:E10)</x:f>
        <x:v>5</x:v>
      </x:c>
      <x:c r="F12" s="1" t="n">
        <x:f>SUM(F6:F10)</x:f>
        <x:v>21</x:v>
      </x:c>
      <x:c r="G12" s="1"/>
      <x:c r="H12" s="1"/>
      <x:c r="I12" s="1"/>
      <x:c r="J12" s="1"/>
      <x:c r="K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5" customHeight="1">
      <x:c r="A15" s="1" t="str">
        <x:v>Checkpoint</x:v>
      </x:c>
      <x:c r="B15" s="1" t="str">
        <x:v>Done release points</x:v>
      </x:c>
      <x:c r="C15" s="1" t="str">
        <x:v>Remaining points</x:v>
      </x:c>
      <x:c r="D15" s="1" t="str">
        <x:v>Done Must FRs</x:v>
      </x:c>
      <x:c r="E15" s="1"/>
      <x:c r="F15" s="1"/>
      <x:c r="G15" s="1"/>
      <x:c r="H15" s="1"/>
      <x:c r="I15" s="1"/>
      <x:c r="J15" s="1"/>
      <x:c r="K15" s="1"/>
    </x:row>
    <x:row r="16" ht="25" customHeight="1">
      <x:c r="A16" s="1" t="str">
        <x:v>Baseline</x:v>
      </x:c>
      <x:c r="B16" s="1" t="n">
        <x:f>'Delivery Forecast'!B12</x:f>
        <x:v>9</x:v>
      </x:c>
      <x:c r="C16" s="1" t="n">
        <x:f>'Delivery Forecast'!B13</x:f>
        <x:v>66</x:v>
      </x:c>
      <x:c r="D16" s="1" t="n">
        <x:f>SUM('Solution Teams'!G6:G10)</x:f>
        <x:v>3</x:v>
      </x:c>
      <x:c r="E16" s="1"/>
      <x:c r="F16" s="1"/>
      <x:c r="G16" s="1"/>
      <x:c r="H16" s="1"/>
      <x:c r="I16" s="1"/>
      <x:c r="J16" s="1"/>
      <x:c r="K16" s="1"/>
    </x:row>
    <x:row r="17" ht="25" customHeight="1">
      <x:c r="A17" s="1" t="str">
        <x:v>After week 1</x:v>
      </x:c>
      <x:c r="B17" s="1" t="n">
        <x:f>B16+C12</x:f>
        <x:v>54</x:v>
      </x:c>
      <x:c r="C17" s="1" t="n">
        <x:f>'Delivery Forecast'!B10-B17</x:f>
        <x:v>21</x:v>
      </x:c>
      <x:c r="D17" s="1" t="n">
        <x:f>D16+B12</x:f>
        <x:v>18</x:v>
      </x:c>
      <x:c r="E17" s="1"/>
      <x:c r="F17" s="1"/>
      <x:c r="G17" s="1"/>
      <x:c r="H17" s="1"/>
      <x:c r="I17" s="1"/>
      <x:c r="J17" s="1"/>
      <x:c r="K17" s="1"/>
    </x:row>
    <x:row r="18" ht="25" customHeight="1">
      <x:c r="A18" s="1" t="str">
        <x:v>After week 2</x:v>
      </x:c>
      <x:c r="B18" s="1" t="n">
        <x:f>B17+F12</x:f>
        <x:v>75</x:v>
      </x:c>
      <x:c r="C18" s="1" t="n">
        <x:f>'Delivery Forecast'!B10-B18</x:f>
        <x:v>0</x:v>
      </x:c>
      <x:c r="D18" s="1" t="n">
        <x:f>D17+D12</x:f>
        <x:v>20</x:v>
      </x:c>
      <x:c r="E18" s="1"/>
      <x:c r="F18" s="1"/>
      <x:c r="G18" s="1"/>
      <x:c r="H18" s="1"/>
      <x:c r="I18" s="1"/>
      <x:c r="J18" s="1"/>
      <x:c r="K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5" customHeight="1">
      <x:c r="A21" s="1" t="str">
        <x:v>Enter original sprint commitment and Done points for one common reporting week. Added Done work affects velocity only.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5" customHeight="1">
      <x:c r="A23" s="1" t="str">
        <x:v>Aggregate commitment completion</x:v>
      </x:c>
      <x:c r="B23" s="1" t="str">
        <x:v>Result</x:v>
      </x:c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5" customHeight="1">
      <x:c r="A24" s="1"/>
      <x:c r="B24" s="7" t="str">
        <x:f>IF(OR(COUNT(G6:G10)&lt;5,COUNT(H6:H10)&lt;5,SUM(G6:G10)=0),"n.a.",SUM(H6:H10)/SUM(G6:G10))</x:f>
        <x:v>n.a.</x:v>
      </x:c>
      <x:c r="C24" s="1"/>
      <x:c r="D24" s="1"/>
      <x:c r="E24" s="1"/>
      <x:c r="F24" s="1"/>
      <x:c r="G24" s="1"/>
      <x:c r="H24" s="1"/>
      <x:c r="I24" s="1"/>
      <x:c r="J24" s="1"/>
      <x:c r="K24" s="1"/>
    </x:row>
  </x:sheetData>
  <x:pageMargins left="0.7" right="0.7" top="0.75" bottom="0.75" header="0.3" footer="0.3"/>
</x:worksheet>
</file>