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ba7b581da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" sheetId="1" r:id="R1a4a2df9bb534340"/>
    <x:sheet xmlns:r="http://schemas.openxmlformats.org/officeDocument/2006/relationships" name="Components" sheetId="2" r:id="R44c6f361e40844fb"/>
    <x:sheet xmlns:r="http://schemas.openxmlformats.org/officeDocument/2006/relationships" name="Sprint Tracker" sheetId="3" r:id="R48d076296cbb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sz val="11"/>
      <x:color rgb="FF1E293B"/>
      <x:name val="Arial"/>
    </x:font>
    <x:font>
      <x:b/>
      <x:sz val="16"/>
      <x:color rgb="FF1E293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5B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2c1d2406044b8" /><Relationship Type="http://schemas.openxmlformats.org/officeDocument/2006/relationships/theme" Target="/xl/theme/theme1.xml" Id="Rb98bdf395d54436d" /><Relationship Type="http://schemas.openxmlformats.org/officeDocument/2006/relationships/sharedStrings" Target="/xl/sharedStrings.xml" Id="R3363e7b00cfb44b6" /><Relationship Type="http://schemas.openxmlformats.org/officeDocument/2006/relationships/worksheet" Target="/xl/worksheets/sheet1.xml" Id="R1a4a2df9bb534340" /><Relationship Type="http://schemas.openxmlformats.org/officeDocument/2006/relationships/worksheet" Target="/xl/worksheets/sheet2.xml" Id="R44c6f361e40844fb" /><Relationship Type="http://schemas.openxmlformats.org/officeDocument/2006/relationships/worksheet" Target="/xl/worksheets/sheet3.xml" Id="R48d076296cbb4a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2" hidden="0" customWidth="1"/>
    <x:col min="3" max="3" width="60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5" customHeight="1">
      <x:c r="A1" s="1"/>
      <x:c r="B1" s="1"/>
      <x:c r="C1" s="1"/>
      <x:c r="D1" s="1"/>
      <x:c r="E1" s="1"/>
      <x:c r="F1" s="1"/>
    </x:row>
    <x:row r="2" ht="25" customHeight="1">
      <x:c r="A2" s="2" t="str">
        <x:v>ETS 2702 Scrum Master forecast</x:v>
      </x:c>
      <x:c r="B2" s="1"/>
      <x:c r="C2" s="1"/>
      <x:c r="D2" s="1"/>
      <x:c r="E2" s="1"/>
      <x:c r="F2" s="1"/>
    </x:row>
    <x:row r="3" ht="25" customHeight="1">
      <x:c r="A3" s="1" t="str">
        <x:v>One team of 5 covers all components. Shared solution/component stories; 3 completed spillover stories are Must.</x:v>
      </x:c>
      <x:c r="B3" s="1"/>
      <x:c r="C3" s="1"/>
      <x:c r="D3" s="1"/>
      <x:c r="E3" s="1"/>
      <x:c r="F3" s="1"/>
    </x:row>
    <x:row r="4" ht="25" customHeight="1">
      <x:c r="A4" s="1"/>
      <x:c r="B4" s="1"/>
      <x:c r="C4" s="1"/>
      <x:c r="D4" s="1"/>
      <x:c r="E4" s="1"/>
      <x:c r="F4" s="1"/>
    </x:row>
    <x:row r="5" ht="48" customHeight="1">
      <x:c r="A5" s="5" t="str">
        <x:v>Release metric</x:v>
      </x:c>
      <x:c r="B5" s="5" t="str">
        <x:v>Result</x:v>
      </x:c>
      <x:c r="C5" s="5" t="str">
        <x:v>Interpretation</x:v>
      </x:c>
      <x:c r="D5" s="1"/>
      <x:c r="E5" s="1"/>
      <x:c r="F5" s="1"/>
    </x:row>
    <x:row r="6" ht="25" customHeight="1">
      <x:c r="A6" s="1" t="str">
        <x:v>Release stories</x:v>
      </x:c>
      <x:c r="B6" s="1" t="n">
        <x:f>SUM('Components'!B6:B10)</x:f>
        <x:v>25</x:v>
      </x:c>
      <x:c r="C6" s="1" t="str">
        <x:v>25 unique stories</x:v>
      </x:c>
      <x:c r="D6" s="1"/>
      <x:c r="E6" s="1"/>
      <x:c r="F6" s="1"/>
    </x:row>
    <x:row r="7" ht="25" customHeight="1">
      <x:c r="A7" s="1" t="str">
        <x:v>Release points</x:v>
      </x:c>
      <x:c r="B7" s="1" t="n">
        <x:f>B6*$B$29</x:f>
        <x:v>75</x:v>
      </x:c>
      <x:c r="C7" s="1" t="str">
        <x:v>All story work included in 3 points</x:v>
      </x:c>
      <x:c r="D7" s="1"/>
      <x:c r="E7" s="1"/>
      <x:c r="F7" s="1"/>
    </x:row>
    <x:row r="8" ht="25" customHeight="1">
      <x:c r="A8" s="1" t="str">
        <x:v>Must stories</x:v>
      </x:c>
      <x:c r="B8" s="1" t="n">
        <x:f>SUM('Components'!C6:C10)</x:f>
        <x:v>20</x:v>
      </x:c>
      <x:c r="C8" s="1" t="str">
        <x:v>4 per component epic</x:v>
      </x:c>
      <x:c r="D8" s="1"/>
      <x:c r="E8" s="1"/>
      <x:c r="F8" s="1"/>
    </x:row>
    <x:row r="9" ht="25" customHeight="1">
      <x:c r="A9" s="1" t="str">
        <x:v>Must points</x:v>
      </x:c>
      <x:c r="B9" s="1" t="n">
        <x:f>B8*$B$29</x:f>
        <x:v>60</x:v>
      </x:c>
      <x:c r="C9" s="1" t="str">
        <x:v>Automation included in Definition of Done</x:v>
      </x:c>
      <x:c r="D9" s="1"/>
      <x:c r="E9" s="1"/>
      <x:c r="F9" s="1"/>
    </x:row>
    <x:row r="10" ht="25" customHeight="1">
      <x:c r="A10" s="1" t="str">
        <x:v>Completed stories</x:v>
      </x:c>
      <x:c r="B10" s="1" t="n">
        <x:f>SUM('Components'!D6:D10)</x:f>
        <x:v>3</x:v>
      </x:c>
      <x:c r="C10" s="1" t="str">
        <x:v>Already completed spillover</x:v>
      </x:c>
      <x:c r="D10" s="1"/>
      <x:c r="E10" s="1"/>
      <x:c r="F10" s="1"/>
    </x:row>
    <x:row r="11" ht="25" customHeight="1">
      <x:c r="A11" s="1" t="str">
        <x:v>Completed points</x:v>
      </x:c>
      <x:c r="B11" s="1" t="n">
        <x:f>B10*$B$29</x:f>
        <x:v>9</x:v>
      </x:c>
      <x:c r="C11" s="1" t="str">
        <x:v>Do not subtract twice</x:v>
      </x:c>
      <x:c r="D11" s="1"/>
      <x:c r="E11" s="1"/>
      <x:c r="F11" s="1"/>
    </x:row>
    <x:row r="12" ht="25" customHeight="1">
      <x:c r="A12" s="1" t="str">
        <x:v>Remaining release points</x:v>
      </x:c>
      <x:c r="B12" s="1" t="n">
        <x:f>B7-B11</x:f>
        <x:v>66</x:v>
      </x:c>
      <x:c r="C12" s="1" t="str">
        <x:v>Full scope remaining</x:v>
      </x:c>
      <x:c r="D12" s="1"/>
      <x:c r="E12" s="1"/>
      <x:c r="F12" s="1"/>
    </x:row>
    <x:row r="13" ht="25" customHeight="1">
      <x:c r="A13" s="1" t="str">
        <x:v>Remaining Must points</x:v>
      </x:c>
      <x:c r="B13" s="1" t="n">
        <x:f>B9-SUM('Components'!E6:E10)*$B$29</x:f>
        <x:v>51</x:v>
      </x:c>
      <x:c r="C13" s="1" t="str">
        <x:v>Assumes completed Must IDs as shown</x:v>
      </x:c>
      <x:c r="D13" s="1"/>
      <x:c r="E13" s="1"/>
      <x:c r="F13" s="1"/>
    </x:row>
    <x:row r="14" ht="25" customHeight="1">
      <x:c r="A14" s="1" t="str">
        <x:v>Release completion</x:v>
      </x:c>
      <x:c r="B14" s="7" t="n">
        <x:f>IF(B7=0,"n.a.",B11/B7)</x:f>
        <x:v>0.12</x:v>
      </x:c>
      <x:c r="C14" s="1" t="str">
        <x:v>Done points / total scope</x:v>
      </x:c>
      <x:c r="D14" s="1"/>
      <x:c r="E14" s="1"/>
      <x:c r="F14" s="1"/>
    </x:row>
    <x:row r="15" ht="25" customHeight="1">
      <x:c r="A15" s="1" t="str">
        <x:v>Must completion</x:v>
      </x:c>
      <x:c r="B15" s="7" t="n">
        <x:f>IF(B9=0,"n.a.",SUM('Components'!E6:E10)*$B$29/B9)</x:f>
        <x:v>0.15</x:v>
      </x:c>
      <x:c r="C15" s="1" t="str">
        <x:v>Done Must points / total Must scope</x:v>
      </x:c>
      <x:c r="D15" s="1"/>
      <x:c r="E15" s="1"/>
      <x:c r="F15" s="1"/>
    </x:row>
    <x:row r="16" ht="25" customHeight="1">
      <x:c r="A16" s="1" t="str">
        <x:v>Whole stories / sprint</x:v>
      </x:c>
      <x:c r="B16" s="1" t="n">
        <x:f>ROUNDDOWN($B$28/$B$29,0)</x:f>
        <x:v>3</x:v>
      </x:c>
      <x:c r="C16" s="1" t="str">
        <x:v>When velocity is used as weekly planning limit</x:v>
      </x:c>
      <x:c r="D16" s="1"/>
      <x:c r="E16" s="1"/>
      <x:c r="F16" s="1"/>
    </x:row>
    <x:row r="17" ht="25" customHeight="1">
      <x:c r="A17" s="1" t="str">
        <x:v>Must point forecast (weeks)</x:v>
      </x:c>
      <x:c r="B17" s="1" t="n">
        <x:f>ROUNDUP(B13/$B$28,0)</x:f>
        <x:v>6</x:v>
      </x:c>
      <x:c r="C17" s="1" t="str">
        <x:v>Remaining points / average velocity</x:v>
      </x:c>
      <x:c r="D17" s="1"/>
      <x:c r="E17" s="1"/>
      <x:c r="F17" s="1"/>
    </x:row>
    <x:row r="18" ht="25" customHeight="1">
      <x:c r="A18" s="1" t="str">
        <x:v>Full point forecast (weeks)</x:v>
      </x:c>
      <x:c r="B18" s="1" t="n">
        <x:f>ROUNDUP(B12/$B$28,0)</x:f>
        <x:v>7</x:v>
      </x:c>
      <x:c r="C18" s="1" t="str">
        <x:v>Can require a 12-point sprint</x:v>
      </x:c>
      <x:c r="D18" s="1"/>
      <x:c r="E18" s="1"/>
      <x:c r="F18" s="1"/>
    </x:row>
    <x:row r="19" ht="25" customHeight="1">
      <x:c r="A19" s="1" t="str">
        <x:v>Must whole-story plan (weeks)</x:v>
      </x:c>
      <x:c r="B19" s="1" t="n">
        <x:f>IF(B16=0,"n.a.",ROUNDUP((B8-SUM('Components'!E6:E10))/B16,0))</x:f>
        <x:v>6</x:v>
      </x:c>
      <x:c r="C19" s="1" t="str">
        <x:v>No partial story credit</x:v>
      </x:c>
      <x:c r="D19" s="1"/>
      <x:c r="E19" s="1"/>
      <x:c r="F19" s="1"/>
    </x:row>
    <x:row r="20" ht="25" customHeight="1">
      <x:c r="A20" s="1" t="str">
        <x:v>Full whole-story plan (weeks)</x:v>
      </x:c>
      <x:c r="B20" s="1" t="n">
        <x:f>IF(B16=0,"n.a.",ROUNDUP((B6-B10)/B16,0))</x:f>
        <x:v>8</x:v>
      </x:c>
      <x:c r="C20" s="1" t="str">
        <x:v>Conservative fixed weekly planning limit</x:v>
      </x:c>
      <x:c r="D20" s="1"/>
      <x:c r="E20" s="1"/>
      <x:c r="F20" s="1"/>
    </x:row>
    <x:row r="21" ht="25" customHeight="1">
      <x:c r="A21" s="1" t="str">
        <x:v>Remaining verification tasks</x:v>
      </x:c>
      <x:c r="B21" s="1" t="n">
        <x:f> (B6-B10)*$B$30</x:f>
        <x:v>220</x:v>
      </x:c>
      <x:c r="C21" s="1" t="str">
        <x:v>Work items, not extra story points</x:v>
      </x:c>
      <x:c r="D21" s="1"/>
      <x:c r="E21" s="1"/>
      <x:c r="F21" s="1"/>
    </x:row>
    <x:row r="22" ht="25" customHeight="1">
      <x:c r="A22" s="1" t="str">
        <x:v>Remaining Must automation tasks</x:v>
      </x:c>
      <x:c r="B22" s="1" t="n">
        <x:f>(B8-SUM('Components'!E6:E10))*$B$30</x:f>
        <x:v>170</x:v>
      </x:c>
      <x:c r="C22" s="1" t="str">
        <x:v>Done Must stories already include automation</x:v>
      </x:c>
      <x:c r="D22" s="1"/>
      <x:c r="E22" s="1"/>
      <x:c r="F22" s="1"/>
    </x:row>
    <x:row r="23" ht="25" customHeight="1">
      <x:c r="A23" s="1"/>
      <x:c r="B23" s="1"/>
      <x:c r="C23" s="1"/>
      <x:c r="D23" s="1"/>
      <x:c r="E23" s="1"/>
      <x:c r="F23" s="1"/>
    </x:row>
    <x:row r="24" ht="25" customHeight="1">
      <x:c r="A24" s="1"/>
      <x:c r="B24" s="1"/>
      <x:c r="C24" s="1"/>
      <x:c r="D24" s="1"/>
      <x:c r="E24" s="1"/>
      <x:c r="F24" s="1"/>
    </x:row>
    <x:row r="25" ht="25" customHeight="1">
      <x:c r="A25" s="1"/>
      <x:c r="B25" s="1"/>
      <x:c r="C25" s="1"/>
      <x:c r="D25" s="1"/>
      <x:c r="E25" s="1"/>
      <x:c r="F25" s="1"/>
    </x:row>
    <x:row r="26" ht="42" customHeight="1">
      <x:c r="A26" s="5" t="str">
        <x:v>Planning input</x:v>
      </x:c>
      <x:c r="B26" s="5" t="str">
        <x:v>Value</x:v>
      </x:c>
      <x:c r="C26" s="5" t="str">
        <x:v>Definition</x:v>
      </x:c>
      <x:c r="D26" s="1"/>
      <x:c r="E26" s="1"/>
      <x:c r="F26" s="1"/>
    </x:row>
    <x:row r="27" ht="25" customHeight="1">
      <x:c r="A27" s="1" t="str">
        <x:v>Team members</x:v>
      </x:c>
      <x:c r="B27" s="6" t="n">
        <x:v>5</x:v>
      </x:c>
      <x:c r="C27" s="1" t="str">
        <x:v>One team, not five teams</x:v>
      </x:c>
      <x:c r="D27" s="1"/>
      <x:c r="E27" s="1"/>
      <x:c r="F27" s="1"/>
    </x:row>
    <x:row r="28" ht="25" customHeight="1">
      <x:c r="A28" s="1" t="str">
        <x:v>Team velocity, points/week</x:v>
      </x:c>
      <x:c r="B28" s="6" t="n">
        <x:v>10</x:v>
      </x:c>
      <x:c r="C28" s="1" t="str">
        <x:v>Reference historical average</x:v>
      </x:c>
      <x:c r="D28" s="1"/>
      <x:c r="E28" s="1"/>
      <x:c r="F28" s="1"/>
    </x:row>
    <x:row r="29" ht="25" customHeight="1">
      <x:c r="A29" s="1" t="str">
        <x:v>Points per story / FR</x:v>
      </x:c>
      <x:c r="B29" s="6" t="n">
        <x:v>3</x:v>
      </x:c>
      <x:c r="C29" s="1" t="str">
        <x:v>One FR maps to one story</x:v>
      </x:c>
      <x:c r="D29" s="1"/>
      <x:c r="E29" s="1"/>
      <x:c r="F29" s="1"/>
    </x:row>
    <x:row r="30" ht="25" customHeight="1">
      <x:c r="A30" s="1" t="str">
        <x:v>Testable tasks per story</x:v>
      </x:c>
      <x:c r="B30" s="6" t="n">
        <x:v>10</x:v>
      </x:c>
      <x:c r="C30" s="1" t="str">
        <x:v>Included in the story estimate</x:v>
      </x:c>
      <x:c r="D30" s="1"/>
      <x:c r="E30" s="1"/>
      <x:c r="F30" s="1"/>
    </x:row>
    <x:row r="31" ht="25" customHeight="1">
      <x:c r="A31" s="1"/>
      <x:c r="B31" s="1"/>
      <x:c r="C31" s="1"/>
      <x:c r="D31" s="1"/>
      <x:c r="E31" s="1"/>
      <x:c r="F31" s="1"/>
    </x:row>
    <x:row r="32" ht="25" customHeight="1">
      <x:c r="A32" s="1"/>
      <x:c r="B32" s="1"/>
      <x:c r="C32" s="1"/>
      <x:c r="D32" s="1"/>
      <x:c r="E32" s="1"/>
      <x:c r="F32" s="1"/>
    </x:row>
    <x:row r="33" ht="42" customHeight="1">
      <x:c r="A33" s="5" t="str">
        <x:v>Scenario velocity</x:v>
      </x:c>
      <x:c r="B33" s="5" t="str">
        <x:v>Must point weeks</x:v>
      </x:c>
      <x:c r="C33" s="5" t="str">
        <x:v>Full point weeks</x:v>
      </x:c>
      <x:c r="D33" s="5" t="str">
        <x:v>Whole stories/week</x:v>
      </x:c>
      <x:c r="E33" s="5" t="str">
        <x:v>Must story weeks</x:v>
      </x:c>
      <x:c r="F33" s="5" t="str">
        <x:v>Full story weeks</x:v>
      </x:c>
    </x:row>
    <x:row r="34" ht="25" customHeight="1">
      <x:c r="A34" s="6" t="n">
        <x:v>7</x:v>
      </x:c>
      <x:c r="B34" s="1" t="n">
        <x:f>ROUNDUP($B$13/A34,0)</x:f>
        <x:v>8</x:v>
      </x:c>
      <x:c r="C34" s="1" t="n">
        <x:f>ROUNDUP($B$12/A34,0)</x:f>
        <x:v>10</x:v>
      </x:c>
      <x:c r="D34" s="1" t="n">
        <x:f>ROUNDDOWN(A34/$B$29,0)</x:f>
        <x:v>2</x:v>
      </x:c>
      <x:c r="E34" s="1" t="n">
        <x:f>IF(D34=0,"n.a.",ROUNDUP(($B$13/$B$29)/D34,0))</x:f>
        <x:v>9</x:v>
      </x:c>
      <x:c r="F34" s="1" t="n">
        <x:f>IF(D34=0,"n.a.",ROUNDUP(($B$12/$B$29)/D34,0))</x:f>
        <x:v>11</x:v>
      </x:c>
    </x:row>
    <x:row r="35" ht="25" customHeight="1">
      <x:c r="A35" s="6" t="n">
        <x:v>10</x:v>
      </x:c>
      <x:c r="B35" s="1" t="n">
        <x:f>ROUNDUP($B$13/A35,0)</x:f>
        <x:v>6</x:v>
      </x:c>
      <x:c r="C35" s="1" t="n">
        <x:f>ROUNDUP($B$12/A35,0)</x:f>
        <x:v>7</x:v>
      </x:c>
      <x:c r="D35" s="1" t="n">
        <x:f>ROUNDDOWN(A35/$B$29,0)</x:f>
        <x:v>3</x:v>
      </x:c>
      <x:c r="E35" s="1" t="n">
        <x:f>IF(D35=0,"n.a.",ROUNDUP(($B$13/$B$29)/D35,0))</x:f>
        <x:v>6</x:v>
      </x:c>
      <x:c r="F35" s="1" t="n">
        <x:f>IF(D35=0,"n.a.",ROUNDUP(($B$12/$B$29)/D35,0))</x:f>
        <x:v>8</x:v>
      </x:c>
    </x:row>
    <x:row r="36" ht="25" customHeight="1">
      <x:c r="A36" s="6" t="n">
        <x:v>13</x:v>
      </x:c>
      <x:c r="B36" s="1" t="n">
        <x:f>ROUNDUP($B$13/A36,0)</x:f>
        <x:v>4</x:v>
      </x:c>
      <x:c r="C36" s="1" t="n">
        <x:f>ROUNDUP($B$12/A36,0)</x:f>
        <x:v>6</x:v>
      </x:c>
      <x:c r="D36" s="1" t="n">
        <x:f>ROUNDDOWN(A36/$B$29,0)</x:f>
        <x:v>4</x:v>
      </x:c>
      <x:c r="E36" s="1" t="n">
        <x:f>IF(D36=0,"n.a.",ROUNDUP(($B$13/$B$29)/D36,0))</x:f>
        <x:v>5</x:v>
      </x:c>
      <x:c r="F36" s="1" t="n">
        <x:f>IF(D36=0,"n.a.",ROUNDUP(($B$12/$B$29)/D36,0))</x:f>
        <x:v>6</x:v>
      </x:c>
    </x:row>
    <x:row r="37" ht="25" customHeight="1">
      <x:c r="A37" s="1"/>
      <x:c r="B37" s="1"/>
      <x:c r="C37" s="1"/>
      <x:c r="D37" s="1"/>
      <x:c r="E37" s="1"/>
      <x:c r="F37" s="1"/>
    </x:row>
    <x:row r="38" ht="25" customHeight="1">
      <x:c r="A38" s="1"/>
      <x:c r="B38" s="1"/>
      <x:c r="C38" s="1"/>
      <x:c r="D38" s="1"/>
      <x:c r="E38" s="1"/>
      <x:c r="F38" s="1"/>
    </x:row>
    <x:row r="39" ht="25" customHeight="1">
      <x:c r="A39" s="1" t="str">
        <x:v>Scenarios are illustrative, not confidence intervals. Forecast weeks start from the next planning point.</x:v>
      </x:c>
      <x:c r="B39" s="1"/>
      <x:c r="C39" s="1"/>
      <x:c r="D39" s="1"/>
      <x:c r="E39" s="1"/>
      <x:c r="F3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5" customHeight="1">
      <x:c r="A2" s="2" t="str">
        <x:v>ETS 2702 component delivery scope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5" customHeight="1">
      <x:c r="A3" s="1" t="str">
        <x:v>Completed Must examples: US-01, US-02 in CMP-1 and US-06 in CMP-2. Amber fields are editable.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8" customHeight="1">
      <x:c r="A5" s="5" t="str">
        <x:v>Component epic</x:v>
      </x:c>
      <x:c r="B5" s="5" t="str">
        <x:v>Total stories</x:v>
      </x:c>
      <x:c r="C5" s="5" t="str">
        <x:v>Must stories</x:v>
      </x:c>
      <x:c r="D5" s="5" t="str">
        <x:v>Done stories</x:v>
      </x:c>
      <x:c r="E5" s="5" t="str">
        <x:v>Done Must stories</x:v>
      </x:c>
      <x:c r="F5" s="5" t="str">
        <x:v>Total points</x:v>
      </x:c>
      <x:c r="G5" s="5" t="str">
        <x:v>Done points</x:v>
      </x:c>
      <x:c r="H5" s="5" t="str">
        <x:v>Remaining points</x:v>
      </x:c>
      <x:c r="I5" s="5" t="str">
        <x:v>Remaining Must points</x:v>
      </x:c>
      <x:c r="J5" s="5" t="str">
        <x:v>Completion</x:v>
      </x:c>
      <x:c r="K5" s="5" t="str">
        <x:v>Input check</x:v>
      </x:c>
    </x:row>
    <x:row r="6" ht="25" customHeight="1">
      <x:c r="A6" s="1" t="str">
        <x:v>CMP-1 Registration</x:v>
      </x:c>
      <x:c r="B6" s="6" t="n">
        <x:v>5</x:v>
      </x:c>
      <x:c r="C6" s="6" t="n">
        <x:v>4</x:v>
      </x:c>
      <x:c r="D6" s="6" t="n">
        <x:v>2</x:v>
      </x:c>
      <x:c r="E6" s="6" t="n">
        <x:v>2</x:v>
      </x:c>
      <x:c r="F6" s="1" t="n">
        <x:f>B6*'Forecast'!$B$29</x:f>
        <x:v>15</x:v>
      </x:c>
      <x:c r="G6" s="1" t="n">
        <x:f>D6*'Forecast'!$B$29</x:f>
        <x:v>6</x:v>
      </x:c>
      <x:c r="H6" s="1" t="n">
        <x:f>F6-G6</x:f>
        <x:v>9</x:v>
      </x:c>
      <x:c r="I6" s="1" t="n">
        <x:f>(C6-E6)*'Forecast'!$B$29</x:f>
        <x:v>6</x:v>
      </x:c>
      <x:c r="J6" s="7" t="n">
        <x:f>IF(F6=0,"n.a.",G6/F6)</x:f>
        <x:v>0.4</x:v>
      </x:c>
      <x:c r="K6" s="1" t="str">
        <x:f>IF(AND(C6&lt;=B6,D6&lt;=B6,E6&lt;=C6,E6&lt;=D6,B6&gt;=0,C6&gt;=0,D6&gt;=0,E6&gt;=0),"OK","Check inputs")</x:f>
        <x:v>OK</x:v>
      </x:c>
    </x:row>
    <x:row r="7" ht="25" customHeight="1">
      <x:c r="A7" s="1" t="str">
        <x:v>CMP-2 Session Management</x:v>
      </x:c>
      <x:c r="B7" s="6" t="n">
        <x:v>5</x:v>
      </x:c>
      <x:c r="C7" s="6" t="n">
        <x:v>4</x:v>
      </x:c>
      <x:c r="D7" s="6" t="n">
        <x:v>1</x:v>
      </x:c>
      <x:c r="E7" s="6" t="n">
        <x:v>1</x:v>
      </x:c>
      <x:c r="F7" s="1" t="n">
        <x:f>B7*'Forecast'!$B$29</x:f>
        <x:v>15</x:v>
      </x:c>
      <x:c r="G7" s="1" t="n">
        <x:f>D7*'Forecast'!$B$29</x:f>
        <x:v>3</x:v>
      </x:c>
      <x:c r="H7" s="1" t="n">
        <x:f>F7-G7</x:f>
        <x:v>12</x:v>
      </x:c>
      <x:c r="I7" s="1" t="n">
        <x:f>(C7-E7)*'Forecast'!$B$29</x:f>
        <x:v>9</x:v>
      </x:c>
      <x:c r="J7" s="7" t="n">
        <x:f>IF(F7=0,"n.a.",G7/F7)</x:f>
        <x:v>0.2</x:v>
      </x:c>
      <x:c r="K7" s="1" t="str">
        <x:f>IF(AND(C7&lt;=B7,D7&lt;=B7,E7&lt;=C7,E7&lt;=D7,B7&gt;=0,C7&gt;=0,D7&gt;=0,E7&gt;=0),"OK","Check inputs")</x:f>
        <x:v>OK</x:v>
      </x:c>
    </x:row>
    <x:row r="8" ht="25" customHeight="1">
      <x:c r="A8" s="1" t="str">
        <x:v>CMP-3 Mobility</x:v>
      </x:c>
      <x:c r="B8" s="6" t="n">
        <x:v>5</x:v>
      </x:c>
      <x:c r="C8" s="6" t="n">
        <x:v>4</x:v>
      </x:c>
      <x:c r="D8" s="6" t="n">
        <x:v>0</x:v>
      </x:c>
      <x:c r="E8" s="6" t="n">
        <x:v>0</x:v>
      </x:c>
      <x:c r="F8" s="1" t="n">
        <x:f>B8*'Forecast'!$B$29</x:f>
        <x:v>15</x:v>
      </x:c>
      <x:c r="G8" s="1" t="n">
        <x:f>D8*'Forecast'!$B$29</x:f>
        <x:v>0</x:v>
      </x:c>
      <x:c r="H8" s="1" t="n">
        <x:f>F8-G8</x:f>
        <x:v>15</x:v>
      </x:c>
      <x:c r="I8" s="1" t="n">
        <x:f>(C8-E8)*'Forecast'!$B$29</x:f>
        <x:v>12</x:v>
      </x:c>
      <x:c r="J8" s="7" t="n">
        <x:f>IF(F8=0,"n.a.",G8/F8)</x:f>
        <x:v>0</x:v>
      </x:c>
      <x:c r="K8" s="1" t="str">
        <x:f>IF(AND(C8&lt;=B8,D8&lt;=B8,E8&lt;=C8,E8&lt;=D8,B8&gt;=0,C8&gt;=0,D8&gt;=0,E8&gt;=0),"OK","Check inputs")</x:f>
        <x:v>OK</x:v>
      </x:c>
    </x:row>
    <x:row r="9" ht="25" customHeight="1">
      <x:c r="A9" s="1" t="str">
        <x:v>CMP-4 Paging</x:v>
      </x:c>
      <x:c r="B9" s="6" t="n">
        <x:v>5</x:v>
      </x:c>
      <x:c r="C9" s="6" t="n">
        <x:v>4</x:v>
      </x:c>
      <x:c r="D9" s="6" t="n">
        <x:v>0</x:v>
      </x:c>
      <x:c r="E9" s="6" t="n">
        <x:v>0</x:v>
      </x:c>
      <x:c r="F9" s="1" t="n">
        <x:f>B9*'Forecast'!$B$29</x:f>
        <x:v>15</x:v>
      </x:c>
      <x:c r="G9" s="1" t="n">
        <x:f>D9*'Forecast'!$B$29</x:f>
        <x:v>0</x:v>
      </x:c>
      <x:c r="H9" s="1" t="n">
        <x:f>F9-G9</x:f>
        <x:v>15</x:v>
      </x:c>
      <x:c r="I9" s="1" t="n">
        <x:f>(C9-E9)*'Forecast'!$B$29</x:f>
        <x:v>12</x:v>
      </x:c>
      <x:c r="J9" s="7" t="n">
        <x:f>IF(F9=0,"n.a.",G9/F9)</x:f>
        <x:v>0</x:v>
      </x:c>
      <x:c r="K9" s="1" t="str">
        <x:f>IF(AND(C9&lt;=B9,D9&lt;=B9,E9&lt;=C9,E9&lt;=D9,B9&gt;=0,C9&gt;=0,D9&gt;=0,E9&gt;=0),"OK","Check inputs")</x:f>
        <x:v>OK</x:v>
      </x:c>
    </x:row>
    <x:row r="10" ht="25" customHeight="1">
      <x:c r="A10" s="1" t="str">
        <x:v>CMP-5 Monitoring</x:v>
      </x:c>
      <x:c r="B10" s="6" t="n">
        <x:v>5</x:v>
      </x:c>
      <x:c r="C10" s="6" t="n">
        <x:v>4</x:v>
      </x:c>
      <x:c r="D10" s="6" t="n">
        <x:v>0</x:v>
      </x:c>
      <x:c r="E10" s="6" t="n">
        <x:v>0</x:v>
      </x:c>
      <x:c r="F10" s="1" t="n">
        <x:f>B10*'Forecast'!$B$29</x:f>
        <x:v>15</x:v>
      </x:c>
      <x:c r="G10" s="1" t="n">
        <x:f>D10*'Forecast'!$B$29</x:f>
        <x:v>0</x:v>
      </x:c>
      <x:c r="H10" s="1" t="n">
        <x:f>F10-G10</x:f>
        <x:v>15</x:v>
      </x:c>
      <x:c r="I10" s="1" t="n">
        <x:f>(C10-E10)*'Forecast'!$B$29</x:f>
        <x:v>12</x:v>
      </x:c>
      <x:c r="J10" s="7" t="n">
        <x:f>IF(F10=0,"n.a.",G10/F10)</x:f>
        <x:v>0</x:v>
      </x:c>
      <x:c r="K10" s="1" t="str">
        <x:f>IF(AND(C10&lt;=B10,D10&lt;=B10,E10&lt;=C10,E10&lt;=D10,B10&gt;=0,C10&gt;=0,D10&gt;=0,E10&gt;=0),"OK","Check inputs")</x:f>
        <x:v>OK</x:v>
      </x:c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5" customHeight="1">
      <x:c r="A13" s="1" t="str">
        <x:v>Must counts must not exceed scope; Done Must must not exceed either Done or Must.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5" customHeight="1">
      <x:c r="A15" s="1" t="str">
        <x:v>Input consistency</x:v>
      </x:c>
      <x:c r="B15" s="1" t="str">
        <x:v>Result</x:v>
      </x:c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5" customHeight="1">
      <x:c r="A16" s="1"/>
      <x:c r="B16" s="1" t="str">
        <x:f>IF(AND(SUM(B6:B10)&gt;=SUM(C6:C10),SUM(D6:D10)&gt;=SUM(E6:E10)),"Review row limits too","Check scope")</x:f>
        <x:v>Review row limits too</x:v>
      </x:c>
      <x:c r="C16" s="1"/>
      <x:c r="D16" s="1"/>
      <x:c r="E16" s="1"/>
      <x:c r="F16" s="1"/>
      <x:c r="G16" s="1"/>
      <x:c r="H16" s="1"/>
      <x:c r="I16" s="1"/>
      <x:c r="J16" s="1"/>
      <x:c r="K16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5" customHeight="1">
      <x:c r="A2" s="2" t="str">
        <x:v>Weekly sprint delivery tracker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5" customHeight="1">
      <x:c r="A3" s="1" t="str">
        <x:v>The plan is illustrative; actual sprint fields are blank until supplied. Points count only when a story becomes Done.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8" customHeight="1">
      <x:c r="A5" s="5" t="str">
        <x:v>Week</x:v>
      </x:c>
      <x:c r="B5" s="5" t="str">
        <x:v>Plan Must stories</x:v>
      </x:c>
      <x:c r="C5" s="5" t="str">
        <x:v>Plan Should stories</x:v>
      </x:c>
      <x:c r="D5" s="5" t="str">
        <x:v>Plan points</x:v>
      </x:c>
      <x:c r="E5" s="5" t="str">
        <x:v>Cumulative planned Done</x:v>
      </x:c>
      <x:c r="F5" s="5" t="str">
        <x:v>Planned remaining</x:v>
      </x:c>
      <x:c r="G5" s="5" t="str">
        <x:v>Original commitment pts</x:v>
      </x:c>
      <x:c r="H5" s="5" t="str">
        <x:v>Original scope Done pts</x:v>
      </x:c>
      <x:c r="I5" s="5" t="str">
        <x:v>Added work Done pts</x:v>
      </x:c>
      <x:c r="J5" s="5" t="str">
        <x:v>Actual velocity</x:v>
      </x:c>
      <x:c r="K5" s="5" t="str">
        <x:v>Commitment completion</x:v>
      </x:c>
      <x:c r="L5" s="5" t="str">
        <x:v>Original spillover pts</x:v>
      </x:c>
      <x:c r="M5" s="5" t="str">
        <x:v>Goal achieved?</x:v>
      </x:c>
    </x:row>
    <x:row r="6" ht="25" customHeight="1">
      <x:c r="A6" s="1" t="n">
        <x:v>1</x:v>
      </x:c>
      <x:c r="B6" s="1" t="n">
        <x:v>3</x:v>
      </x:c>
      <x:c r="C6" s="1" t="n">
        <x:v>0</x:v>
      </x:c>
      <x:c r="D6" s="1" t="n">
        <x:f>SUM(B6:C6)*'Forecast'!$B$29</x:f>
        <x:v>9</x:v>
      </x:c>
      <x:c r="E6" s="1" t="n">
        <x:f>'Forecast'!$B$11+SUM($D$6:D6)</x:f>
        <x:v>18</x:v>
      </x:c>
      <x:c r="F6" s="1" t="n">
        <x:f>'Forecast'!$B$7-E6</x:f>
        <x:v>57</x:v>
      </x:c>
      <x:c r="G6" s="6"/>
      <x:c r="H6" s="6"/>
      <x:c r="I6" s="6"/>
      <x:c r="J6" s="1" t="str">
        <x:f>IF(OR(G6="",H6="",I6=""),"n.a.",H6+I6)</x:f>
        <x:v>n.a.</x:v>
      </x:c>
      <x:c r="K6" s="7" t="str">
        <x:f>IF(OR(G6="",H6="",G6=0),"n.a.",H6/G6)</x:f>
        <x:v>n.a.</x:v>
      </x:c>
      <x:c r="L6" s="1" t="str">
        <x:f>IF(OR(G6="",H6=""),"n.a.",G6-H6)</x:f>
        <x:v>n.a.</x:v>
      </x:c>
      <x:c r="M6" s="6"/>
    </x:row>
    <x:row r="7" ht="25" customHeight="1">
      <x:c r="A7" s="1" t="n">
        <x:v>2</x:v>
      </x:c>
      <x:c r="B7" s="1" t="n">
        <x:v>3</x:v>
      </x:c>
      <x:c r="C7" s="1" t="n">
        <x:v>0</x:v>
      </x:c>
      <x:c r="D7" s="1" t="n">
        <x:f>SUM(B7:C7)*'Forecast'!$B$29</x:f>
        <x:v>9</x:v>
      </x:c>
      <x:c r="E7" s="1" t="n">
        <x:f>'Forecast'!$B$11+SUM($D$6:D7)</x:f>
        <x:v>27</x:v>
      </x:c>
      <x:c r="F7" s="1" t="n">
        <x:f>'Forecast'!$B$7-E7</x:f>
        <x:v>48</x:v>
      </x:c>
      <x:c r="G7" s="6"/>
      <x:c r="H7" s="6"/>
      <x:c r="I7" s="6"/>
      <x:c r="J7" s="1" t="str">
        <x:f>IF(OR(G7="",H7="",I7=""),"n.a.",H7+I7)</x:f>
        <x:v>n.a.</x:v>
      </x:c>
      <x:c r="K7" s="7" t="str">
        <x:f>IF(OR(G7="",H7="",G7=0),"n.a.",H7/G7)</x:f>
        <x:v>n.a.</x:v>
      </x:c>
      <x:c r="L7" s="1" t="str">
        <x:f>IF(OR(G7="",H7=""),"n.a.",G7-H7)</x:f>
        <x:v>n.a.</x:v>
      </x:c>
      <x:c r="M7" s="6"/>
    </x:row>
    <x:row r="8" ht="25" customHeight="1">
      <x:c r="A8" s="1" t="n">
        <x:v>3</x:v>
      </x:c>
      <x:c r="B8" s="1" t="n">
        <x:v>3</x:v>
      </x:c>
      <x:c r="C8" s="1" t="n">
        <x:v>0</x:v>
      </x:c>
      <x:c r="D8" s="1" t="n">
        <x:f>SUM(B8:C8)*'Forecast'!$B$29</x:f>
        <x:v>9</x:v>
      </x:c>
      <x:c r="E8" s="1" t="n">
        <x:f>'Forecast'!$B$11+SUM($D$6:D8)</x:f>
        <x:v>36</x:v>
      </x:c>
      <x:c r="F8" s="1" t="n">
        <x:f>'Forecast'!$B$7-E8</x:f>
        <x:v>39</x:v>
      </x:c>
      <x:c r="G8" s="6"/>
      <x:c r="H8" s="6"/>
      <x:c r="I8" s="6"/>
      <x:c r="J8" s="1" t="str">
        <x:f>IF(OR(G8="",H8="",I8=""),"n.a.",H8+I8)</x:f>
        <x:v>n.a.</x:v>
      </x:c>
      <x:c r="K8" s="7" t="str">
        <x:f>IF(OR(G8="",H8="",G8=0),"n.a.",H8/G8)</x:f>
        <x:v>n.a.</x:v>
      </x:c>
      <x:c r="L8" s="1" t="str">
        <x:f>IF(OR(G8="",H8=""),"n.a.",G8-H8)</x:f>
        <x:v>n.a.</x:v>
      </x:c>
      <x:c r="M8" s="6"/>
    </x:row>
    <x:row r="9" ht="25" customHeight="1">
      <x:c r="A9" s="1" t="n">
        <x:v>4</x:v>
      </x:c>
      <x:c r="B9" s="1" t="n">
        <x:v>3</x:v>
      </x:c>
      <x:c r="C9" s="1" t="n">
        <x:v>0</x:v>
      </x:c>
      <x:c r="D9" s="1" t="n">
        <x:f>SUM(B9:C9)*'Forecast'!$B$29</x:f>
        <x:v>9</x:v>
      </x:c>
      <x:c r="E9" s="1" t="n">
        <x:f>'Forecast'!$B$11+SUM($D$6:D9)</x:f>
        <x:v>45</x:v>
      </x:c>
      <x:c r="F9" s="1" t="n">
        <x:f>'Forecast'!$B$7-E9</x:f>
        <x:v>30</x:v>
      </x:c>
      <x:c r="G9" s="6"/>
      <x:c r="H9" s="6"/>
      <x:c r="I9" s="6"/>
      <x:c r="J9" s="1" t="str">
        <x:f>IF(OR(G9="",H9="",I9=""),"n.a.",H9+I9)</x:f>
        <x:v>n.a.</x:v>
      </x:c>
      <x:c r="K9" s="7" t="str">
        <x:f>IF(OR(G9="",H9="",G9=0),"n.a.",H9/G9)</x:f>
        <x:v>n.a.</x:v>
      </x:c>
      <x:c r="L9" s="1" t="str">
        <x:f>IF(OR(G9="",H9=""),"n.a.",G9-H9)</x:f>
        <x:v>n.a.</x:v>
      </x:c>
      <x:c r="M9" s="6"/>
    </x:row>
    <x:row r="10" ht="25" customHeight="1">
      <x:c r="A10" s="1" t="n">
        <x:v>5</x:v>
      </x:c>
      <x:c r="B10" s="1" t="n">
        <x:v>3</x:v>
      </x:c>
      <x:c r="C10" s="1" t="n">
        <x:v>0</x:v>
      </x:c>
      <x:c r="D10" s="1" t="n">
        <x:f>SUM(B10:C10)*'Forecast'!$B$29</x:f>
        <x:v>9</x:v>
      </x:c>
      <x:c r="E10" s="1" t="n">
        <x:f>'Forecast'!$B$11+SUM($D$6:D10)</x:f>
        <x:v>54</x:v>
      </x:c>
      <x:c r="F10" s="1" t="n">
        <x:f>'Forecast'!$B$7-E10</x:f>
        <x:v>21</x:v>
      </x:c>
      <x:c r="G10" s="6"/>
      <x:c r="H10" s="6"/>
      <x:c r="I10" s="6"/>
      <x:c r="J10" s="1" t="str">
        <x:f>IF(OR(G10="",H10="",I10=""),"n.a.",H10+I10)</x:f>
        <x:v>n.a.</x:v>
      </x:c>
      <x:c r="K10" s="7" t="str">
        <x:f>IF(OR(G10="",H10="",G10=0),"n.a.",H10/G10)</x:f>
        <x:v>n.a.</x:v>
      </x:c>
      <x:c r="L10" s="1" t="str">
        <x:f>IF(OR(G10="",H10=""),"n.a.",G10-H10)</x:f>
        <x:v>n.a.</x:v>
      </x:c>
      <x:c r="M10" s="6"/>
    </x:row>
    <x:row r="11" ht="25" customHeight="1">
      <x:c r="A11" s="1" t="n">
        <x:v>6</x:v>
      </x:c>
      <x:c r="B11" s="1" t="n">
        <x:v>2</x:v>
      </x:c>
      <x:c r="C11" s="1" t="n">
        <x:v>1</x:v>
      </x:c>
      <x:c r="D11" s="1" t="n">
        <x:f>SUM(B11:C11)*'Forecast'!$B$29</x:f>
        <x:v>9</x:v>
      </x:c>
      <x:c r="E11" s="1" t="n">
        <x:f>'Forecast'!$B$11+SUM($D$6:D11)</x:f>
        <x:v>63</x:v>
      </x:c>
      <x:c r="F11" s="1" t="n">
        <x:f>'Forecast'!$B$7-E11</x:f>
        <x:v>12</x:v>
      </x:c>
      <x:c r="G11" s="6"/>
      <x:c r="H11" s="6"/>
      <x:c r="I11" s="6"/>
      <x:c r="J11" s="1" t="str">
        <x:f>IF(OR(G11="",H11="",I11=""),"n.a.",H11+I11)</x:f>
        <x:v>n.a.</x:v>
      </x:c>
      <x:c r="K11" s="7" t="str">
        <x:f>IF(OR(G11="",H11="",G11=0),"n.a.",H11/G11)</x:f>
        <x:v>n.a.</x:v>
      </x:c>
      <x:c r="L11" s="1" t="str">
        <x:f>IF(OR(G11="",H11=""),"n.a.",G11-H11)</x:f>
        <x:v>n.a.</x:v>
      </x:c>
      <x:c r="M11" s="6"/>
    </x:row>
    <x:row r="12" ht="25" customHeight="1">
      <x:c r="A12" s="1" t="n">
        <x:v>7</x:v>
      </x:c>
      <x:c r="B12" s="1" t="n">
        <x:v>0</x:v>
      </x:c>
      <x:c r="C12" s="1" t="n">
        <x:v>3</x:v>
      </x:c>
      <x:c r="D12" s="1" t="n">
        <x:f>SUM(B12:C12)*'Forecast'!$B$29</x:f>
        <x:v>9</x:v>
      </x:c>
      <x:c r="E12" s="1" t="n">
        <x:f>'Forecast'!$B$11+SUM($D$6:D12)</x:f>
        <x:v>72</x:v>
      </x:c>
      <x:c r="F12" s="1" t="n">
        <x:f>'Forecast'!$B$7-E12</x:f>
        <x:v>3</x:v>
      </x:c>
      <x:c r="G12" s="6"/>
      <x:c r="H12" s="6"/>
      <x:c r="I12" s="6"/>
      <x:c r="J12" s="1" t="str">
        <x:f>IF(OR(G12="",H12="",I12=""),"n.a.",H12+I12)</x:f>
        <x:v>n.a.</x:v>
      </x:c>
      <x:c r="K12" s="7" t="str">
        <x:f>IF(OR(G12="",H12="",G12=0),"n.a.",H12/G12)</x:f>
        <x:v>n.a.</x:v>
      </x:c>
      <x:c r="L12" s="1" t="str">
        <x:f>IF(OR(G12="",H12=""),"n.a.",G12-H12)</x:f>
        <x:v>n.a.</x:v>
      </x:c>
      <x:c r="M12" s="6"/>
    </x:row>
    <x:row r="13" ht="25" customHeight="1">
      <x:c r="A13" s="1" t="n">
        <x:v>8</x:v>
      </x:c>
      <x:c r="B13" s="1" t="n">
        <x:v>0</x:v>
      </x:c>
      <x:c r="C13" s="1" t="n">
        <x:v>1</x:v>
      </x:c>
      <x:c r="D13" s="1" t="n">
        <x:f>SUM(B13:C13)*'Forecast'!$B$29</x:f>
        <x:v>3</x:v>
      </x:c>
      <x:c r="E13" s="1" t="n">
        <x:f>'Forecast'!$B$11+SUM($D$6:D13)</x:f>
        <x:v>75</x:v>
      </x:c>
      <x:c r="F13" s="1" t="n">
        <x:f>'Forecast'!$B$7-E13</x:f>
        <x:v>0</x:v>
      </x:c>
      <x:c r="G13" s="6"/>
      <x:c r="H13" s="6"/>
      <x:c r="I13" s="6"/>
      <x:c r="J13" s="1" t="str">
        <x:f>IF(OR(G13="",H13="",I13=""),"n.a.",H13+I13)</x:f>
        <x:v>n.a.</x:v>
      </x:c>
      <x:c r="K13" s="7" t="str">
        <x:f>IF(OR(G13="",H13="",G13=0),"n.a.",H13/G13)</x:f>
        <x:v>n.a.</x:v>
      </x:c>
      <x:c r="L13" s="1" t="str">
        <x:f>IF(OR(G13="",H13=""),"n.a.",G13-H13)</x:f>
        <x:v>n.a.</x:v>
      </x:c>
      <x:c r="M13" s="6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5" customHeight="1">
      <x:c r="A16" s="1" t="str">
        <x:v>Enter 0 for no added Done work. Original scope excludes later additions; velocity includes all work becoming Done.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5" customHeight="1">
      <x:c r="A18" s="1" t="str">
        <x:v>Goal success rate</x:v>
      </x:c>
      <x:c r="B18" s="1" t="str">
        <x:v>Completed sprints with Yes / Yes + No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5" customHeight="1">
      <x:c r="A19" s="1"/>
      <x:c r="B19" s="7" t="str">
        <x:f>IF(COUNTIFS(M6:M13,"Yes")+COUNTIFS(M6:M13,"No")=0,"n.a.",COUNTIFS(M6:M13,"Yes")/(COUNTIFS(M6:M13,"Yes")+COUNTIFS(M6:M13,"No")))</x:f>
        <x:v>n.a.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</x:sheetData>
  <x:dataValidations count="1">
    <x:dataValidation type="list" sqref="M6:M13">
      <x:formula1>"Yes,No"</x:formula1>
    </x:dataValidation>
  </x:dataValidations>
  <x:pageMargins left="0.7" right="0.7" top="0.75" bottom="0.75" header="0.3" footer="0.3"/>
</x:worksheet>
</file>